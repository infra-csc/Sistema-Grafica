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f6a92409406c/Desktop/KIT 2026/CENOGRAFIA/MARÇO/"/>
    </mc:Choice>
  </mc:AlternateContent>
  <xr:revisionPtr revIDLastSave="0" documentId="8_{159F8DFB-4958-4D43-B462-7744869AA44C}" xr6:coauthVersionLast="47" xr6:coauthVersionMax="47" xr10:uidLastSave="{00000000-0000-0000-0000-000000000000}"/>
  <bookViews>
    <workbookView xWindow="-120" yWindow="-120" windowWidth="20730" windowHeight="11310" firstSheet="1" activeTab="1" xr2:uid="{B1DBE7D6-50F5-4307-AC76-931C33AFAD0B}"/>
  </bookViews>
  <sheets>
    <sheet name="Kit" sheetId="1" r:id="rId1"/>
    <sheet name="Arena" sheetId="2" r:id="rId2"/>
    <sheet name="Imantadas" sheetId="4" r:id="rId3"/>
    <sheet name="Placas km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2" l="1"/>
  <c r="L46" i="2"/>
  <c r="M72" i="2"/>
  <c r="M71" i="2"/>
  <c r="M70" i="2"/>
  <c r="M69" i="2"/>
  <c r="M50" i="2"/>
  <c r="L49" i="2"/>
  <c r="K49" i="2"/>
  <c r="M48" i="2"/>
  <c r="L47" i="2"/>
  <c r="K47" i="2"/>
  <c r="M73" i="2"/>
  <c r="M33" i="2"/>
  <c r="M32" i="2"/>
  <c r="M31" i="2"/>
  <c r="M30" i="2"/>
  <c r="M62" i="2"/>
  <c r="M61" i="2"/>
  <c r="M68" i="2"/>
  <c r="M29" i="2"/>
  <c r="M28" i="2"/>
  <c r="M27" i="2"/>
  <c r="M22" i="2"/>
  <c r="M26" i="2"/>
  <c r="M25" i="2"/>
  <c r="L24" i="2"/>
  <c r="K24" i="2"/>
  <c r="L34" i="2"/>
  <c r="K34" i="2"/>
  <c r="M67" i="2"/>
  <c r="M66" i="2"/>
  <c r="M65" i="2"/>
  <c r="M64" i="2"/>
  <c r="M63" i="2"/>
  <c r="M60" i="2"/>
  <c r="M59" i="2"/>
  <c r="M58" i="2"/>
  <c r="M57" i="2"/>
  <c r="M56" i="2"/>
  <c r="M55" i="2"/>
  <c r="M54" i="2"/>
  <c r="M53" i="2"/>
  <c r="M52" i="2"/>
  <c r="M51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23" i="2"/>
  <c r="K23" i="2"/>
  <c r="L21" i="2"/>
  <c r="K21" i="2"/>
  <c r="L20" i="2"/>
  <c r="K20" i="2"/>
  <c r="S9" i="2"/>
  <c r="U9" i="2"/>
  <c r="S6" i="2"/>
  <c r="U6" i="2"/>
  <c r="M20" i="2"/>
  <c r="M23" i="2"/>
  <c r="S8" i="2"/>
  <c r="U8" i="2"/>
  <c r="M47" i="2" l="1"/>
  <c r="M49" i="2"/>
  <c r="M35" i="2"/>
  <c r="M36" i="2"/>
  <c r="M37" i="2"/>
  <c r="M38" i="2"/>
  <c r="S5" i="2"/>
  <c r="U5" i="2" s="1"/>
</calcChain>
</file>

<file path=xl/sharedStrings.xml><?xml version="1.0" encoding="utf-8"?>
<sst xmlns="http://schemas.openxmlformats.org/spreadsheetml/2006/main" count="422" uniqueCount="170">
  <si>
    <t>INVERNO CURITIBA</t>
  </si>
  <si>
    <t>CÓD EVENTO</t>
  </si>
  <si>
    <t>item</t>
  </si>
  <si>
    <t>cód peça</t>
  </si>
  <si>
    <t>qtde</t>
  </si>
  <si>
    <t xml:space="preserve">área </t>
  </si>
  <si>
    <t>visual</t>
  </si>
  <si>
    <t>material</t>
  </si>
  <si>
    <t>acabamento</t>
  </si>
  <si>
    <t>medida do arquivo</t>
  </si>
  <si>
    <t>m²</t>
  </si>
  <si>
    <t>ARTE</t>
  </si>
  <si>
    <t>GRÁFICA</t>
  </si>
  <si>
    <t>OBSERVAÇÃO</t>
  </si>
  <si>
    <t>RESUMO</t>
  </si>
  <si>
    <t>INV_CWB</t>
  </si>
  <si>
    <t>2x1</t>
  </si>
  <si>
    <t>2x1 Powerade</t>
  </si>
  <si>
    <t>2x1_1</t>
  </si>
  <si>
    <t>SANETT</t>
  </si>
  <si>
    <t>ILHÓS</t>
  </si>
  <si>
    <t>*****</t>
  </si>
  <si>
    <t>reaproveitar</t>
  </si>
  <si>
    <t>M² total</t>
  </si>
  <si>
    <t>valor unit</t>
  </si>
  <si>
    <t>valor total</t>
  </si>
  <si>
    <t>2x1 Banco do Brasil</t>
  </si>
  <si>
    <t>2x1_2</t>
  </si>
  <si>
    <t>LONA</t>
  </si>
  <si>
    <t>2x1 Decathlon</t>
  </si>
  <si>
    <t>2x1_3</t>
  </si>
  <si>
    <t>2x1 Lei</t>
  </si>
  <si>
    <t>2x1_4</t>
  </si>
  <si>
    <t>2x1 Ministerio (bandeira)</t>
  </si>
  <si>
    <t>2x1_5</t>
  </si>
  <si>
    <t>ADESIVO</t>
  </si>
  <si>
    <t xml:space="preserve">2x1 Ação Concreta </t>
  </si>
  <si>
    <t>2x1_6</t>
  </si>
  <si>
    <t>TECIDO</t>
  </si>
  <si>
    <t>2x1 Prefeitura</t>
  </si>
  <si>
    <t>2x1_7</t>
  </si>
  <si>
    <t>2x1 Tmc</t>
  </si>
  <si>
    <t>2x1_8</t>
  </si>
  <si>
    <t>ROLO</t>
  </si>
  <si>
    <t>rolo Powerade</t>
  </si>
  <si>
    <t>rolo_1</t>
  </si>
  <si>
    <t>rolo Banco do Brasil</t>
  </si>
  <si>
    <t>rolo_2</t>
  </si>
  <si>
    <t>rolo Decathlon</t>
  </si>
  <si>
    <t>rolo_3</t>
  </si>
  <si>
    <t>rolo Lei</t>
  </si>
  <si>
    <t>rolo_4</t>
  </si>
  <si>
    <t>rolo Ministerio (bandeira)</t>
  </si>
  <si>
    <t>rolo_5</t>
  </si>
  <si>
    <t xml:space="preserve">rolo Ação Concreta </t>
  </si>
  <si>
    <t>rolo_6</t>
  </si>
  <si>
    <t>rolo Prefeitura</t>
  </si>
  <si>
    <t>rolo_7</t>
  </si>
  <si>
    <t>rolo Tmc</t>
  </si>
  <si>
    <t>rolo_8</t>
  </si>
  <si>
    <t>PALCO</t>
  </si>
  <si>
    <t>backdrop palco 1</t>
  </si>
  <si>
    <t>palco_1</t>
  </si>
  <si>
    <t>lona</t>
  </si>
  <si>
    <t>refile</t>
  </si>
  <si>
    <t>backdrop palco 2</t>
  </si>
  <si>
    <t>palco_2</t>
  </si>
  <si>
    <t>aplique outono</t>
  </si>
  <si>
    <t>palco_3</t>
  </si>
  <si>
    <t>aplique 1</t>
  </si>
  <si>
    <t>palco_4</t>
  </si>
  <si>
    <t>aplique 2("marcador")</t>
  </si>
  <si>
    <t>palco_5</t>
  </si>
  <si>
    <t>adesivo</t>
  </si>
  <si>
    <t>impresso</t>
  </si>
  <si>
    <t>PÓRTICO</t>
  </si>
  <si>
    <t>Testeira Pórtico Largada 6m</t>
  </si>
  <si>
    <t>test_por_lar</t>
  </si>
  <si>
    <t>ilhós</t>
  </si>
  <si>
    <t>Lat dir Pórtico  Largada</t>
  </si>
  <si>
    <t>lat_dir_larg</t>
  </si>
  <si>
    <t>Lat esq Pórtico Largada</t>
  </si>
  <si>
    <t>lat_esq_larg</t>
  </si>
  <si>
    <t>Testeira Pórtico Bem Vindo 4m</t>
  </si>
  <si>
    <t>test_por_b</t>
  </si>
  <si>
    <t>Testeira Pórtico Até Logo 4m</t>
  </si>
  <si>
    <t>qd fotos</t>
  </si>
  <si>
    <t>quadro fotos outono</t>
  </si>
  <si>
    <t>qd_fotos_out</t>
  </si>
  <si>
    <t>novo logo ministerio</t>
  </si>
  <si>
    <t>quadro fotos inverno</t>
  </si>
  <si>
    <t>qd_fotos_inv</t>
  </si>
  <si>
    <t>quadro fotos primavera</t>
  </si>
  <si>
    <t>qd_fotos_prim</t>
  </si>
  <si>
    <t>quadro fotos verão</t>
  </si>
  <si>
    <t>qd_fotos_ver</t>
  </si>
  <si>
    <t>mandala</t>
  </si>
  <si>
    <t>Fita superior</t>
  </si>
  <si>
    <t>mandala_out</t>
  </si>
  <si>
    <t>Fundo mandala outono (2 partes)</t>
  </si>
  <si>
    <t>Fundo mandala inverno (2 partes)</t>
  </si>
  <si>
    <t>mandala_inv</t>
  </si>
  <si>
    <t>Fundo mandala primavera (2 partes)</t>
  </si>
  <si>
    <t>mandala_prim</t>
  </si>
  <si>
    <t>Fundo mandala verão (2 partes)</t>
  </si>
  <si>
    <t>mandala_ver</t>
  </si>
  <si>
    <t>Frente - medalha outono</t>
  </si>
  <si>
    <t>medalha_out</t>
  </si>
  <si>
    <t>Frente - medalha inverno</t>
  </si>
  <si>
    <t>medalha_inv</t>
  </si>
  <si>
    <t>Frente - medalha primavera</t>
  </si>
  <si>
    <t>medalha_prim</t>
  </si>
  <si>
    <t>Frente - medalha verão</t>
  </si>
  <si>
    <t>medalha_ver</t>
  </si>
  <si>
    <t>ícone outono</t>
  </si>
  <si>
    <t>icone_out</t>
  </si>
  <si>
    <t>ícone inverno</t>
  </si>
  <si>
    <t>icone_inv</t>
  </si>
  <si>
    <t>ícone primavera</t>
  </si>
  <si>
    <t>icone_prim</t>
  </si>
  <si>
    <t>ícone verão</t>
  </si>
  <si>
    <t>icone_ver</t>
  </si>
  <si>
    <t>Stand</t>
  </si>
  <si>
    <t>Testeira Relaxamento</t>
  </si>
  <si>
    <t>test_mass</t>
  </si>
  <si>
    <t>Backdrop Relaxamento</t>
  </si>
  <si>
    <t>bk_mass</t>
  </si>
  <si>
    <t>Testeira O2</t>
  </si>
  <si>
    <t>Backdrop O2</t>
  </si>
  <si>
    <t>PLACAS KM</t>
  </si>
  <si>
    <t>km_1</t>
  </si>
  <si>
    <t>km_2</t>
  </si>
  <si>
    <t>km_3</t>
  </si>
  <si>
    <t>km_4</t>
  </si>
  <si>
    <t>km_5</t>
  </si>
  <si>
    <t>km_6</t>
  </si>
  <si>
    <t>km_7</t>
  </si>
  <si>
    <t>km_8</t>
  </si>
  <si>
    <t>km_9</t>
  </si>
  <si>
    <t>km_10</t>
  </si>
  <si>
    <t>PERCURSO</t>
  </si>
  <si>
    <t>perc_1</t>
  </si>
  <si>
    <t>perc_2</t>
  </si>
  <si>
    <t>ARENA</t>
  </si>
  <si>
    <t xml:space="preserve">faixa de chegada </t>
  </si>
  <si>
    <t>fx_cheg</t>
  </si>
  <si>
    <t>tecido</t>
  </si>
  <si>
    <t>dupla face</t>
  </si>
  <si>
    <t>num pódio 1</t>
  </si>
  <si>
    <t>num_podio1</t>
  </si>
  <si>
    <t>recorte</t>
  </si>
  <si>
    <t>num pódio 2</t>
  </si>
  <si>
    <t>num_podio2</t>
  </si>
  <si>
    <t>num pódio 3</t>
  </si>
  <si>
    <t>num_podio3</t>
  </si>
  <si>
    <t>Testeira guarda volumes</t>
  </si>
  <si>
    <t>test_gv</t>
  </si>
  <si>
    <t>Testeira Posto Médico</t>
  </si>
  <si>
    <t>test_medica</t>
  </si>
  <si>
    <t>Placa Balcão</t>
  </si>
  <si>
    <t>Placa Relaxamento</t>
  </si>
  <si>
    <t>placa_rel</t>
  </si>
  <si>
    <t>ps</t>
  </si>
  <si>
    <t>Placa O2 Prime</t>
  </si>
  <si>
    <t>placa_Prim</t>
  </si>
  <si>
    <t>Placa O2 Entrada</t>
  </si>
  <si>
    <t>placa_Entra</t>
  </si>
  <si>
    <t>Placa O2 Saída</t>
  </si>
  <si>
    <t>Placa_Said</t>
  </si>
  <si>
    <t>imantadas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</si>
</sst>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5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2"/>
      <color rgb="FFFF0000"/>
      <name val="Arial"/>
      <family val="2"/>
    </font>
    <font>
      <b/>
      <sz val="20"/>
      <color theme="1"/>
      <name val="Times New Roman"/>
      <family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</font>
    <font>
      <sz val="12"/>
      <name val="Arial"/>
      <family val="2"/>
      <charset val="1"/>
    </font>
    <font>
      <b/>
      <sz val="8"/>
      <color theme="1"/>
      <name val="Arial"/>
      <family val="2"/>
    </font>
    <font>
      <b/>
      <sz val="11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EAAAA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3" fillId="0" borderId="6" xfId="0" applyFont="1" applyBorder="1"/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/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/>
    <xf numFmtId="0" fontId="5" fillId="0" borderId="6" xfId="0" applyFont="1" applyBorder="1" applyAlignment="1">
      <alignment horizontal="center"/>
    </xf>
    <xf numFmtId="0" fontId="6" fillId="2" borderId="6" xfId="0" applyFont="1" applyFill="1" applyBorder="1"/>
    <xf numFmtId="0" fontId="7" fillId="0" borderId="6" xfId="0" applyFont="1" applyBorder="1" applyAlignment="1">
      <alignment horizontal="center" wrapText="1"/>
    </xf>
    <xf numFmtId="0" fontId="8" fillId="0" borderId="11" xfId="0" applyFont="1" applyBorder="1"/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wrapText="1"/>
    </xf>
    <xf numFmtId="0" fontId="4" fillId="0" borderId="6" xfId="0" applyFont="1" applyBorder="1"/>
    <xf numFmtId="2" fontId="0" fillId="5" borderId="0" xfId="0" applyNumberForma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3" fillId="0" borderId="0" xfId="0" applyFont="1"/>
    <xf numFmtId="0" fontId="11" fillId="6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 vertical="center"/>
    </xf>
    <xf numFmtId="0" fontId="13" fillId="7" borderId="6" xfId="0" applyFont="1" applyFill="1" applyBorder="1"/>
    <xf numFmtId="2" fontId="14" fillId="5" borderId="6" xfId="0" applyNumberFormat="1" applyFont="1" applyFill="1" applyBorder="1" applyAlignment="1">
      <alignment horizontal="center"/>
    </xf>
    <xf numFmtId="2" fontId="14" fillId="8" borderId="0" xfId="0" applyNumberFormat="1" applyFont="1" applyFill="1" applyAlignment="1">
      <alignment horizontal="center"/>
    </xf>
    <xf numFmtId="0" fontId="13" fillId="6" borderId="0" xfId="0" applyFont="1" applyFill="1"/>
    <xf numFmtId="0" fontId="11" fillId="6" borderId="6" xfId="0" applyFont="1" applyFill="1" applyBorder="1" applyAlignment="1">
      <alignment horizontal="center" wrapText="1"/>
    </xf>
    <xf numFmtId="0" fontId="8" fillId="5" borderId="6" xfId="0" applyFont="1" applyFill="1" applyBorder="1"/>
    <xf numFmtId="0" fontId="8" fillId="5" borderId="6" xfId="0" applyFont="1" applyFill="1" applyBorder="1" applyAlignment="1">
      <alignment horizontal="center"/>
    </xf>
    <xf numFmtId="2" fontId="8" fillId="5" borderId="6" xfId="0" applyNumberFormat="1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2" fontId="17" fillId="5" borderId="6" xfId="0" applyNumberFormat="1" applyFont="1" applyFill="1" applyBorder="1" applyAlignment="1">
      <alignment horizontal="center"/>
    </xf>
    <xf numFmtId="2" fontId="18" fillId="9" borderId="6" xfId="0" applyNumberFormat="1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3" fillId="6" borderId="13" xfId="0" applyFont="1" applyFill="1" applyBorder="1"/>
    <xf numFmtId="2" fontId="13" fillId="6" borderId="13" xfId="0" applyNumberFormat="1" applyFont="1" applyFill="1" applyBorder="1" applyAlignment="1">
      <alignment horizontal="center"/>
    </xf>
    <xf numFmtId="164" fontId="13" fillId="6" borderId="13" xfId="0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17" fillId="5" borderId="0" xfId="0" applyNumberFormat="1" applyFont="1" applyFill="1" applyAlignment="1">
      <alignment horizontal="center"/>
    </xf>
    <xf numFmtId="2" fontId="13" fillId="6" borderId="0" xfId="0" applyNumberFormat="1" applyFont="1" applyFill="1" applyAlignment="1">
      <alignment horizontal="center"/>
    </xf>
    <xf numFmtId="164" fontId="13" fillId="6" borderId="0" xfId="0" applyNumberFormat="1" applyFont="1" applyFill="1" applyAlignment="1">
      <alignment horizontal="center"/>
    </xf>
    <xf numFmtId="0" fontId="0" fillId="5" borderId="8" xfId="0" applyFill="1" applyBorder="1"/>
    <xf numFmtId="0" fontId="0" fillId="5" borderId="6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13" fillId="5" borderId="0" xfId="0" applyFont="1" applyFill="1"/>
    <xf numFmtId="0" fontId="19" fillId="5" borderId="0" xfId="0" applyFont="1" applyFill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17" fillId="5" borderId="2" xfId="0" applyNumberFormat="1" applyFont="1" applyFill="1" applyBorder="1" applyAlignment="1">
      <alignment horizontal="center"/>
    </xf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17" fillId="5" borderId="13" xfId="0" applyNumberFormat="1" applyFont="1" applyFill="1" applyBorder="1" applyAlignment="1">
      <alignment horizontal="center"/>
    </xf>
    <xf numFmtId="0" fontId="20" fillId="5" borderId="13" xfId="0" applyFont="1" applyFill="1" applyBorder="1" applyAlignment="1">
      <alignment horizontal="center"/>
    </xf>
    <xf numFmtId="0" fontId="21" fillId="5" borderId="0" xfId="0" applyFont="1" applyFill="1"/>
    <xf numFmtId="0" fontId="0" fillId="5" borderId="15" xfId="0" applyFill="1" applyBorder="1"/>
    <xf numFmtId="0" fontId="0" fillId="5" borderId="17" xfId="0" applyFill="1" applyBorder="1"/>
    <xf numFmtId="0" fontId="0" fillId="5" borderId="17" xfId="0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2" fontId="17" fillId="5" borderId="17" xfId="0" applyNumberFormat="1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0" fillId="5" borderId="18" xfId="0" applyFill="1" applyBorder="1"/>
    <xf numFmtId="0" fontId="0" fillId="5" borderId="18" xfId="0" applyFill="1" applyBorder="1" applyAlignment="1">
      <alignment horizontal="center"/>
    </xf>
    <xf numFmtId="2" fontId="8" fillId="5" borderId="13" xfId="0" applyNumberFormat="1" applyFont="1" applyFill="1" applyBorder="1" applyAlignment="1">
      <alignment horizontal="center"/>
    </xf>
    <xf numFmtId="0" fontId="0" fillId="5" borderId="5" xfId="0" applyFill="1" applyBorder="1" applyAlignment="1">
      <alignment wrapText="1"/>
    </xf>
    <xf numFmtId="0" fontId="0" fillId="5" borderId="15" xfId="0" applyFill="1" applyBorder="1" applyAlignment="1">
      <alignment horizontal="left"/>
    </xf>
    <xf numFmtId="2" fontId="23" fillId="5" borderId="13" xfId="0" applyNumberFormat="1" applyFont="1" applyFill="1" applyBorder="1" applyAlignment="1">
      <alignment horizontal="center"/>
    </xf>
    <xf numFmtId="2" fontId="17" fillId="10" borderId="7" xfId="0" applyNumberFormat="1" applyFont="1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20" fillId="5" borderId="13" xfId="0" applyNumberFormat="1" applyFont="1" applyFill="1" applyBorder="1" applyAlignment="1">
      <alignment horizontal="center"/>
    </xf>
    <xf numFmtId="2" fontId="20" fillId="5" borderId="18" xfId="0" applyNumberFormat="1" applyFont="1" applyFill="1" applyBorder="1" applyAlignment="1">
      <alignment horizontal="center"/>
    </xf>
    <xf numFmtId="2" fontId="17" fillId="5" borderId="18" xfId="0" applyNumberFormat="1" applyFont="1" applyFill="1" applyBorder="1" applyAlignment="1">
      <alignment horizontal="center"/>
    </xf>
    <xf numFmtId="0" fontId="20" fillId="5" borderId="18" xfId="0" applyFont="1" applyFill="1" applyBorder="1" applyAlignment="1">
      <alignment horizontal="center"/>
    </xf>
    <xf numFmtId="0" fontId="20" fillId="5" borderId="19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6" fillId="5" borderId="8" xfId="0" applyFont="1" applyFill="1" applyBorder="1"/>
    <xf numFmtId="0" fontId="13" fillId="5" borderId="6" xfId="0" applyFont="1" applyFill="1" applyBorder="1"/>
    <xf numFmtId="0" fontId="14" fillId="5" borderId="6" xfId="0" applyFont="1" applyFill="1" applyBorder="1" applyAlignment="1">
      <alignment horizontal="center"/>
    </xf>
    <xf numFmtId="2" fontId="14" fillId="5" borderId="20" xfId="0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3" xfId="0" applyFill="1" applyBorder="1" applyAlignment="1">
      <alignment horizontal="left"/>
    </xf>
    <xf numFmtId="0" fontId="11" fillId="6" borderId="7" xfId="0" applyFont="1" applyFill="1" applyBorder="1" applyAlignment="1">
      <alignment horizontal="center" wrapText="1"/>
    </xf>
    <xf numFmtId="2" fontId="17" fillId="5" borderId="4" xfId="0" applyNumberFormat="1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2" fontId="0" fillId="5" borderId="16" xfId="0" applyNumberFormat="1" applyFill="1" applyBorder="1" applyAlignment="1">
      <alignment horizontal="center"/>
    </xf>
    <xf numFmtId="0" fontId="0" fillId="5" borderId="22" xfId="0" applyFill="1" applyBorder="1"/>
    <xf numFmtId="0" fontId="0" fillId="5" borderId="23" xfId="0" applyFill="1" applyBorder="1"/>
    <xf numFmtId="2" fontId="17" fillId="10" borderId="13" xfId="0" applyNumberFormat="1" applyFont="1" applyFill="1" applyBorder="1" applyAlignment="1">
      <alignment horizontal="center"/>
    </xf>
    <xf numFmtId="2" fontId="18" fillId="9" borderId="7" xfId="0" applyNumberFormat="1" applyFont="1" applyFill="1" applyBorder="1" applyAlignment="1">
      <alignment horizontal="center"/>
    </xf>
    <xf numFmtId="2" fontId="17" fillId="10" borderId="24" xfId="0" applyNumberFormat="1" applyFont="1" applyFill="1" applyBorder="1" applyAlignment="1">
      <alignment horizontal="center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2" fontId="14" fillId="5" borderId="6" xfId="0" applyNumberFormat="1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 vertical="center" wrapText="1"/>
    </xf>
    <xf numFmtId="164" fontId="19" fillId="5" borderId="0" xfId="0" applyNumberFormat="1" applyFont="1" applyFill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0" xfId="0" applyFont="1" applyAlignment="1"/>
    <xf numFmtId="0" fontId="1" fillId="0" borderId="9" xfId="0" applyFont="1" applyBorder="1" applyAlignment="1"/>
    <xf numFmtId="0" fontId="1" fillId="0" borderId="1" xfId="0" applyFont="1" applyBorder="1" applyAlignment="1"/>
    <xf numFmtId="0" fontId="1" fillId="0" borderId="12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52C-CD92-4AC2-8646-85934B8D6F81}">
  <dimension ref="A1:AMF29"/>
  <sheetViews>
    <sheetView workbookViewId="0">
      <selection activeCell="J4" sqref="J4"/>
    </sheetView>
  </sheetViews>
  <sheetFormatPr defaultRowHeight="15"/>
  <sheetData>
    <row r="1" spans="1:1020">
      <c r="A1" s="122"/>
      <c r="B1" s="12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</row>
    <row r="2" spans="1:1020">
      <c r="A2" s="122"/>
      <c r="B2" s="12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</row>
    <row r="3" spans="1:1020">
      <c r="A3" s="123"/>
      <c r="B3" s="12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</row>
    <row r="4" spans="1:1020">
      <c r="A4" s="123"/>
      <c r="B4" s="12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</row>
    <row r="5" spans="1:1020">
      <c r="A5" s="123"/>
      <c r="B5" s="12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</row>
    <row r="6" spans="1:1020">
      <c r="A6" s="122"/>
      <c r="B6" s="1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</row>
    <row r="7" spans="1:1020">
      <c r="A7" s="122"/>
      <c r="B7" s="1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</row>
    <row r="8" spans="1:1020">
      <c r="A8" s="123"/>
      <c r="B8" s="12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</row>
    <row r="9" spans="1:1020">
      <c r="A9" s="123"/>
      <c r="B9" s="12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</row>
    <row r="10" spans="1:1020">
      <c r="A10" s="122"/>
      <c r="B10" s="12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</row>
    <row r="11" spans="1:1020">
      <c r="A11" s="123"/>
      <c r="B11" s="12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</row>
    <row r="12" spans="1:1020">
      <c r="A12" s="123"/>
      <c r="B12" s="12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</row>
    <row r="13" spans="1:1020">
      <c r="A13" s="122"/>
      <c r="B13" s="12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</row>
    <row r="14" spans="1:1020">
      <c r="A14" s="122"/>
      <c r="B14" s="12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</row>
    <row r="15" spans="1:1020">
      <c r="A15" s="123"/>
      <c r="B15" s="12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</row>
    <row r="16" spans="1:1020">
      <c r="A16" s="123"/>
      <c r="B16" s="12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</row>
    <row r="17" spans="1:1020">
      <c r="A17" s="122"/>
      <c r="B17" s="12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</row>
    <row r="18" spans="1:1020">
      <c r="A18" s="124"/>
      <c r="B18" s="12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</row>
    <row r="19" spans="1:1020">
      <c r="A19" s="2"/>
      <c r="B19" s="2"/>
      <c r="C19" s="2"/>
      <c r="D19" s="2"/>
      <c r="E19" s="120"/>
      <c r="F19" s="121"/>
      <c r="G19" s="3"/>
      <c r="H19" s="4"/>
      <c r="I19" s="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</row>
    <row r="20" spans="1:1020">
      <c r="A20" s="125"/>
      <c r="B20" s="125"/>
      <c r="C20" s="1"/>
      <c r="D20" s="1"/>
      <c r="E20" s="6"/>
      <c r="F20" s="6"/>
      <c r="G20" s="7"/>
      <c r="H20" s="1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</row>
    <row r="21" spans="1:1020">
      <c r="A21" s="10"/>
      <c r="B21" s="9"/>
      <c r="C21" s="11"/>
      <c r="D21" s="12"/>
      <c r="E21" s="13"/>
      <c r="F21" s="13"/>
      <c r="G21" s="13"/>
      <c r="H21" s="14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</row>
    <row r="22" spans="1:1020">
      <c r="A22" s="10"/>
      <c r="B22" s="9"/>
      <c r="C22" s="11"/>
      <c r="D22" s="12"/>
      <c r="E22" s="13"/>
      <c r="F22" s="13"/>
      <c r="G22" s="13"/>
      <c r="H22" s="14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</row>
    <row r="23" spans="1:1020">
      <c r="A23" s="10"/>
      <c r="B23" s="9"/>
      <c r="C23" s="11"/>
      <c r="D23" s="12"/>
      <c r="E23" s="13"/>
      <c r="F23" s="13"/>
      <c r="G23" s="13"/>
      <c r="H23" s="14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</row>
    <row r="24" spans="1:1020">
      <c r="A24" s="10"/>
      <c r="B24" s="9"/>
      <c r="C24" s="11"/>
      <c r="D24" s="12"/>
      <c r="E24" s="13"/>
      <c r="F24" s="13"/>
      <c r="G24" s="13"/>
      <c r="H24" s="14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</row>
    <row r="25" spans="1:1020">
      <c r="A25" s="10"/>
      <c r="B25" s="9"/>
      <c r="C25" s="11"/>
      <c r="D25" s="12"/>
      <c r="E25" s="13"/>
      <c r="F25" s="13"/>
      <c r="G25" s="13"/>
      <c r="H25" s="14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</row>
    <row r="26" spans="1:1020">
      <c r="A26" s="10"/>
      <c r="B26" s="9"/>
      <c r="C26" s="9"/>
      <c r="D26" s="12"/>
      <c r="E26" s="13"/>
      <c r="F26" s="13"/>
      <c r="G26" s="13"/>
      <c r="H26" s="14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</row>
    <row r="27" spans="1:1020">
      <c r="A27" s="10"/>
      <c r="B27" s="9"/>
      <c r="C27" s="9"/>
      <c r="D27" s="9"/>
      <c r="E27" s="13"/>
      <c r="F27" s="13"/>
      <c r="G27" s="13"/>
      <c r="H27" s="14"/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</row>
    <row r="28" spans="1:1020">
      <c r="A28" s="10"/>
      <c r="B28" s="9"/>
      <c r="C28" s="9"/>
      <c r="D28" s="9"/>
      <c r="E28" s="13"/>
      <c r="F28" s="13"/>
      <c r="G28" s="13"/>
      <c r="H28" s="14"/>
      <c r="I28" s="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</row>
    <row r="29" spans="1:1020">
      <c r="A29" s="10"/>
      <c r="B29" s="9"/>
      <c r="C29" s="9"/>
      <c r="D29" s="9"/>
      <c r="E29" s="13"/>
      <c r="F29" s="13"/>
      <c r="G29" s="13"/>
      <c r="H29" s="14"/>
      <c r="I29" s="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</row>
  </sheetData>
  <mergeCells count="20">
    <mergeCell ref="A4:B4"/>
    <mergeCell ref="A1:B1"/>
    <mergeCell ref="A2:B2"/>
    <mergeCell ref="A3:B3"/>
    <mergeCell ref="A14:B14"/>
    <mergeCell ref="A5:B5"/>
    <mergeCell ref="A6:B6"/>
    <mergeCell ref="A7:B7"/>
    <mergeCell ref="A8:B8"/>
    <mergeCell ref="A9:B9"/>
    <mergeCell ref="E19:F19"/>
    <mergeCell ref="A20:B20"/>
    <mergeCell ref="A10:B10"/>
    <mergeCell ref="A11:B11"/>
    <mergeCell ref="A12:B12"/>
    <mergeCell ref="A13:B13"/>
    <mergeCell ref="A15:B15"/>
    <mergeCell ref="A16:B16"/>
    <mergeCell ref="A17:B17"/>
    <mergeCell ref="A18:B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CF26-F4E0-423B-9A7D-F6AB274436FE}">
  <dimension ref="A1:AMK73"/>
  <sheetViews>
    <sheetView tabSelected="1" workbookViewId="0">
      <selection activeCell="O7" sqref="O7:P7"/>
    </sheetView>
  </sheetViews>
  <sheetFormatPr defaultRowHeight="15"/>
  <cols>
    <col min="1" max="1" width="10" customWidth="1"/>
    <col min="2" max="2" width="11.5703125" customWidth="1"/>
    <col min="3" max="3" width="29.5703125" customWidth="1"/>
    <col min="5" max="6" width="4.85546875" customWidth="1"/>
    <col min="7" max="7" width="5.42578125" customWidth="1"/>
    <col min="8" max="8" width="7.140625" customWidth="1"/>
    <col min="11" max="11" width="7" customWidth="1"/>
    <col min="12" max="12" width="5.85546875" customWidth="1"/>
    <col min="13" max="13" width="7.85546875" customWidth="1"/>
    <col min="15" max="15" width="9.42578125" customWidth="1"/>
    <col min="16" max="16" width="22.5703125" customWidth="1"/>
    <col min="17" max="17" width="6.140625" customWidth="1"/>
    <col min="20" max="20" width="12.5703125" bestFit="1" customWidth="1"/>
    <col min="21" max="21" width="16.85546875" bestFit="1" customWidth="1"/>
  </cols>
  <sheetData>
    <row r="1" spans="1:1025" ht="25.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6"/>
    </row>
    <row r="2" spans="1:1025" ht="15.75">
      <c r="A2" s="17"/>
      <c r="B2" s="18"/>
      <c r="E2" s="19"/>
      <c r="F2" s="19"/>
      <c r="G2" s="19"/>
      <c r="H2" s="19"/>
      <c r="I2" s="19"/>
      <c r="J2" s="19"/>
      <c r="K2" s="20"/>
      <c r="L2" s="20"/>
      <c r="M2" s="20"/>
      <c r="N2" s="16"/>
      <c r="O2" s="20"/>
      <c r="P2" s="20"/>
      <c r="Q2" s="16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  <c r="AGT2" s="21"/>
      <c r="AGU2" s="21"/>
      <c r="AGV2" s="21"/>
      <c r="AGW2" s="21"/>
      <c r="AGX2" s="21"/>
      <c r="AGY2" s="21"/>
      <c r="AGZ2" s="21"/>
      <c r="AHA2" s="21"/>
      <c r="AHB2" s="21"/>
      <c r="AHC2" s="21"/>
      <c r="AHD2" s="21"/>
      <c r="AHE2" s="21"/>
      <c r="AHF2" s="21"/>
      <c r="AHG2" s="21"/>
      <c r="AHH2" s="21"/>
      <c r="AHI2" s="21"/>
      <c r="AHJ2" s="21"/>
      <c r="AHK2" s="21"/>
      <c r="AHL2" s="21"/>
      <c r="AHM2" s="21"/>
      <c r="AHN2" s="21"/>
      <c r="AHO2" s="21"/>
      <c r="AHP2" s="21"/>
      <c r="AHQ2" s="21"/>
      <c r="AHR2" s="21"/>
      <c r="AHS2" s="21"/>
      <c r="AHT2" s="21"/>
      <c r="AHU2" s="21"/>
      <c r="AHV2" s="21"/>
      <c r="AHW2" s="21"/>
      <c r="AHX2" s="21"/>
      <c r="AHY2" s="21"/>
      <c r="AHZ2" s="21"/>
      <c r="AIA2" s="21"/>
      <c r="AIB2" s="21"/>
      <c r="AIC2" s="21"/>
      <c r="AID2" s="21"/>
      <c r="AIE2" s="21"/>
      <c r="AIF2" s="21"/>
      <c r="AIG2" s="21"/>
      <c r="AIH2" s="21"/>
      <c r="AII2" s="21"/>
      <c r="AIJ2" s="21"/>
      <c r="AIK2" s="21"/>
      <c r="AIL2" s="21"/>
      <c r="AIM2" s="21"/>
      <c r="AIN2" s="21"/>
      <c r="AIO2" s="21"/>
      <c r="AIP2" s="21"/>
      <c r="AIQ2" s="21"/>
      <c r="AIR2" s="21"/>
      <c r="AIS2" s="21"/>
      <c r="AIT2" s="21"/>
      <c r="AIU2" s="21"/>
      <c r="AIV2" s="21"/>
      <c r="AIW2" s="21"/>
      <c r="AIX2" s="21"/>
      <c r="AIY2" s="21"/>
      <c r="AIZ2" s="21"/>
      <c r="AJA2" s="21"/>
      <c r="AJB2" s="21"/>
      <c r="AJC2" s="21"/>
      <c r="AJD2" s="21"/>
      <c r="AJE2" s="21"/>
      <c r="AJF2" s="21"/>
      <c r="AJG2" s="21"/>
      <c r="AJH2" s="21"/>
      <c r="AJI2" s="21"/>
      <c r="AJJ2" s="21"/>
      <c r="AJK2" s="21"/>
      <c r="AJL2" s="21"/>
      <c r="AJM2" s="21"/>
      <c r="AJN2" s="21"/>
      <c r="AJO2" s="21"/>
      <c r="AJP2" s="21"/>
      <c r="AJQ2" s="21"/>
      <c r="AJR2" s="21"/>
      <c r="AJS2" s="21"/>
      <c r="AJT2" s="21"/>
      <c r="AJU2" s="21"/>
      <c r="AJV2" s="21"/>
      <c r="AJW2" s="21"/>
      <c r="AJX2" s="21"/>
      <c r="AJY2" s="21"/>
      <c r="AJZ2" s="21"/>
      <c r="AKA2" s="21"/>
      <c r="AKB2" s="21"/>
      <c r="AKC2" s="21"/>
      <c r="AKD2" s="21"/>
      <c r="AKE2" s="21"/>
      <c r="AKF2" s="21"/>
      <c r="AKG2" s="21"/>
      <c r="AKH2" s="21"/>
      <c r="AKI2" s="21"/>
      <c r="AKJ2" s="21"/>
      <c r="AKK2" s="21"/>
      <c r="AKL2" s="21"/>
      <c r="AKM2" s="21"/>
      <c r="AKN2" s="21"/>
      <c r="AKO2" s="21"/>
      <c r="AKP2" s="21"/>
      <c r="AKQ2" s="21"/>
      <c r="AKR2" s="21"/>
      <c r="AKS2" s="21"/>
      <c r="AKT2" s="21"/>
      <c r="AKU2" s="21"/>
      <c r="AKV2" s="21"/>
      <c r="AKW2" s="21"/>
      <c r="AKX2" s="21"/>
      <c r="AKY2" s="21"/>
      <c r="AKZ2" s="21"/>
      <c r="ALA2" s="21"/>
      <c r="ALB2" s="21"/>
      <c r="ALC2" s="21"/>
      <c r="ALD2" s="21"/>
      <c r="ALE2" s="21"/>
      <c r="ALF2" s="21"/>
      <c r="ALG2" s="21"/>
      <c r="ALH2" s="21"/>
      <c r="ALI2" s="21"/>
      <c r="ALJ2" s="21"/>
      <c r="ALK2" s="21"/>
      <c r="ALL2" s="21"/>
      <c r="ALM2" s="21"/>
      <c r="ALN2" s="21"/>
      <c r="ALO2" s="21"/>
      <c r="ALP2" s="21"/>
      <c r="ALQ2" s="21"/>
      <c r="ALR2" s="21"/>
      <c r="ALS2" s="21"/>
      <c r="ALT2" s="21"/>
      <c r="ALU2" s="21"/>
      <c r="ALV2" s="21"/>
      <c r="ALW2" s="21"/>
      <c r="ALX2" s="21"/>
      <c r="ALY2" s="21"/>
      <c r="ALZ2" s="21"/>
      <c r="AMA2" s="21"/>
      <c r="AMB2" s="21"/>
      <c r="AMC2" s="21"/>
      <c r="AMD2" s="21"/>
      <c r="AME2" s="21"/>
      <c r="AMF2" s="21"/>
      <c r="AMG2" s="21"/>
      <c r="AMH2" s="21"/>
      <c r="AMI2" s="21"/>
      <c r="AMJ2" s="21"/>
      <c r="AMK2" s="21"/>
    </row>
    <row r="3" spans="1:1025" ht="15.75">
      <c r="A3" s="22" t="s">
        <v>1</v>
      </c>
      <c r="B3" s="23"/>
      <c r="C3" s="24" t="s">
        <v>2</v>
      </c>
      <c r="D3" s="88" t="s">
        <v>3</v>
      </c>
      <c r="E3" s="89" t="s">
        <v>4</v>
      </c>
      <c r="F3" s="89"/>
      <c r="G3" s="89" t="s">
        <v>5</v>
      </c>
      <c r="H3" s="89" t="s">
        <v>6</v>
      </c>
      <c r="I3" s="89" t="s">
        <v>7</v>
      </c>
      <c r="J3" s="89" t="s">
        <v>8</v>
      </c>
      <c r="K3" s="25" t="s">
        <v>9</v>
      </c>
      <c r="L3" s="111"/>
      <c r="M3" s="111" t="s">
        <v>10</v>
      </c>
      <c r="N3" s="25" t="s">
        <v>11</v>
      </c>
      <c r="O3" s="25" t="s">
        <v>12</v>
      </c>
      <c r="P3" s="90" t="s">
        <v>13</v>
      </c>
      <c r="Q3" s="26"/>
      <c r="R3" s="114" t="s">
        <v>14</v>
      </c>
      <c r="S3" s="114"/>
      <c r="T3" s="114"/>
      <c r="U3" s="114"/>
      <c r="V3" s="21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  <c r="AMI3" s="27"/>
      <c r="AMJ3" s="27"/>
      <c r="AMK3" s="27"/>
    </row>
    <row r="4" spans="1:1025" ht="15" customHeight="1">
      <c r="A4" s="28" t="s">
        <v>15</v>
      </c>
      <c r="B4" s="108" t="s">
        <v>16</v>
      </c>
      <c r="C4" s="87" t="s">
        <v>17</v>
      </c>
      <c r="D4" s="29" t="s">
        <v>18</v>
      </c>
      <c r="E4" s="30">
        <v>4</v>
      </c>
      <c r="F4" s="91" t="b">
        <v>0</v>
      </c>
      <c r="G4" s="31">
        <v>1.9</v>
      </c>
      <c r="H4" s="31">
        <v>0.9</v>
      </c>
      <c r="I4" s="32" t="s">
        <v>19</v>
      </c>
      <c r="J4" s="32" t="s">
        <v>20</v>
      </c>
      <c r="K4" s="33">
        <v>1.9</v>
      </c>
      <c r="L4" s="33">
        <v>0.9</v>
      </c>
      <c r="M4" s="33"/>
      <c r="N4" s="34"/>
      <c r="O4" s="74" t="s">
        <v>21</v>
      </c>
      <c r="P4" s="73" t="s">
        <v>22</v>
      </c>
      <c r="Q4" s="26"/>
      <c r="R4" s="35" t="s">
        <v>7</v>
      </c>
      <c r="S4" s="35" t="s">
        <v>23</v>
      </c>
      <c r="T4" s="35" t="s">
        <v>24</v>
      </c>
      <c r="U4" s="35" t="s">
        <v>25</v>
      </c>
      <c r="V4" s="21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  <c r="AMI4" s="27"/>
      <c r="AMJ4" s="27"/>
      <c r="AMK4" s="27"/>
    </row>
    <row r="5" spans="1:1025" ht="15" customHeight="1">
      <c r="A5" s="28" t="s">
        <v>15</v>
      </c>
      <c r="B5" s="109"/>
      <c r="C5" s="87" t="s">
        <v>26</v>
      </c>
      <c r="D5" s="29" t="s">
        <v>27</v>
      </c>
      <c r="E5" s="30">
        <v>4</v>
      </c>
      <c r="F5" s="91" t="b">
        <v>0</v>
      </c>
      <c r="G5" s="31">
        <v>1.9</v>
      </c>
      <c r="H5" s="31">
        <v>0.9</v>
      </c>
      <c r="I5" s="32" t="s">
        <v>19</v>
      </c>
      <c r="J5" s="32" t="s">
        <v>20</v>
      </c>
      <c r="K5" s="33">
        <v>1.9</v>
      </c>
      <c r="L5" s="33">
        <v>0.9</v>
      </c>
      <c r="M5" s="33"/>
      <c r="N5" s="34"/>
      <c r="O5" s="74" t="s">
        <v>21</v>
      </c>
      <c r="P5" s="73" t="s">
        <v>22</v>
      </c>
      <c r="Q5" s="26"/>
      <c r="R5" s="36" t="s">
        <v>28</v>
      </c>
      <c r="S5" s="37">
        <f>SUMIF(I4:I316,"lona",M4:M316)</f>
        <v>224.4833000000001</v>
      </c>
      <c r="T5" s="38">
        <v>32</v>
      </c>
      <c r="U5" s="38">
        <f>T5*S5</f>
        <v>7183.4656000000032</v>
      </c>
      <c r="V5" s="21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</row>
    <row r="6" spans="1:1025" ht="15" customHeight="1">
      <c r="A6" s="28" t="s">
        <v>15</v>
      </c>
      <c r="B6" s="109"/>
      <c r="C6" s="87" t="s">
        <v>29</v>
      </c>
      <c r="D6" s="29" t="s">
        <v>30</v>
      </c>
      <c r="E6" s="30">
        <v>2</v>
      </c>
      <c r="F6" s="91" t="b">
        <v>0</v>
      </c>
      <c r="G6" s="31">
        <v>1.9</v>
      </c>
      <c r="H6" s="31">
        <v>0.9</v>
      </c>
      <c r="I6" s="32" t="s">
        <v>19</v>
      </c>
      <c r="J6" s="32" t="s">
        <v>20</v>
      </c>
      <c r="K6" s="33">
        <v>1.9</v>
      </c>
      <c r="L6" s="33">
        <v>0.9</v>
      </c>
      <c r="M6" s="33"/>
      <c r="N6" s="34"/>
      <c r="O6" s="74" t="s">
        <v>21</v>
      </c>
      <c r="P6" s="73" t="s">
        <v>22</v>
      </c>
      <c r="Q6" s="26"/>
      <c r="R6" s="36" t="s">
        <v>19</v>
      </c>
      <c r="S6" s="37">
        <f>SUMIF(I4:I316,"sanett",M4:M316)</f>
        <v>0</v>
      </c>
      <c r="T6" s="38">
        <v>42</v>
      </c>
      <c r="U6" s="38">
        <f>T6*S6</f>
        <v>0</v>
      </c>
      <c r="V6" s="21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</row>
    <row r="7" spans="1:1025" ht="15" customHeight="1">
      <c r="A7" s="28" t="s">
        <v>15</v>
      </c>
      <c r="B7" s="109"/>
      <c r="C7" s="87" t="s">
        <v>31</v>
      </c>
      <c r="D7" s="29" t="s">
        <v>32</v>
      </c>
      <c r="E7" s="30">
        <v>8</v>
      </c>
      <c r="F7" s="91" t="b">
        <v>0</v>
      </c>
      <c r="G7" s="31">
        <v>1.9</v>
      </c>
      <c r="H7" s="31">
        <v>0.9</v>
      </c>
      <c r="I7" s="32" t="s">
        <v>19</v>
      </c>
      <c r="J7" s="32" t="s">
        <v>20</v>
      </c>
      <c r="K7" s="33">
        <v>1.9</v>
      </c>
      <c r="L7" s="33">
        <v>0.9</v>
      </c>
      <c r="M7" s="33"/>
      <c r="N7" s="34"/>
      <c r="O7" s="74" t="s">
        <v>21</v>
      </c>
      <c r="P7" s="73" t="s">
        <v>22</v>
      </c>
      <c r="Q7" s="26"/>
      <c r="R7" s="36"/>
      <c r="S7" s="37"/>
      <c r="T7" s="38"/>
      <c r="U7" s="38"/>
      <c r="V7" s="21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</row>
    <row r="8" spans="1:1025" ht="15" customHeight="1">
      <c r="A8" s="28" t="s">
        <v>15</v>
      </c>
      <c r="B8" s="109"/>
      <c r="C8" s="87" t="s">
        <v>33</v>
      </c>
      <c r="D8" s="29" t="s">
        <v>34</v>
      </c>
      <c r="E8" s="30">
        <v>8</v>
      </c>
      <c r="F8" s="91" t="b">
        <v>0</v>
      </c>
      <c r="G8" s="31">
        <v>1.9</v>
      </c>
      <c r="H8" s="31">
        <v>0.9</v>
      </c>
      <c r="I8" s="32" t="s">
        <v>19</v>
      </c>
      <c r="J8" s="32" t="s">
        <v>20</v>
      </c>
      <c r="K8" s="33">
        <v>1.9</v>
      </c>
      <c r="L8" s="33">
        <v>0.9</v>
      </c>
      <c r="M8" s="33"/>
      <c r="N8" s="34"/>
      <c r="O8" s="74"/>
      <c r="P8" s="73"/>
      <c r="Q8" s="26"/>
      <c r="R8" s="36" t="s">
        <v>35</v>
      </c>
      <c r="S8" s="37">
        <f>SUMIF(I4:I316,"adesivo",M4:M316)</f>
        <v>0.59040000000000004</v>
      </c>
      <c r="T8" s="38">
        <v>60</v>
      </c>
      <c r="U8" s="38">
        <f>T8*S8</f>
        <v>35.423999999999999</v>
      </c>
      <c r="V8" s="21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7"/>
      <c r="AMG8" s="27"/>
      <c r="AMH8" s="27"/>
      <c r="AMI8" s="27"/>
      <c r="AMJ8" s="27"/>
      <c r="AMK8" s="27"/>
    </row>
    <row r="9" spans="1:1025" ht="15" customHeight="1">
      <c r="A9" s="28" t="s">
        <v>15</v>
      </c>
      <c r="B9" s="109"/>
      <c r="C9" s="87" t="s">
        <v>36</v>
      </c>
      <c r="D9" s="29" t="s">
        <v>37</v>
      </c>
      <c r="E9" s="30">
        <v>8</v>
      </c>
      <c r="F9" s="91" t="b">
        <v>0</v>
      </c>
      <c r="G9" s="31">
        <v>1.9</v>
      </c>
      <c r="H9" s="31">
        <v>0.9</v>
      </c>
      <c r="I9" s="32" t="s">
        <v>19</v>
      </c>
      <c r="J9" s="32" t="s">
        <v>20</v>
      </c>
      <c r="K9" s="33">
        <v>1.9</v>
      </c>
      <c r="L9" s="33">
        <v>0.9</v>
      </c>
      <c r="M9" s="33"/>
      <c r="N9" s="34"/>
      <c r="O9" s="74" t="s">
        <v>21</v>
      </c>
      <c r="P9" s="73" t="s">
        <v>22</v>
      </c>
      <c r="Q9" s="26"/>
      <c r="R9" s="36" t="s">
        <v>38</v>
      </c>
      <c r="S9" s="37">
        <f>SUMIF(I4:I316,"TECIDO",M4:M316)</f>
        <v>1.2000000000000002</v>
      </c>
      <c r="T9" s="38">
        <v>32</v>
      </c>
      <c r="U9" s="38">
        <f>T9*S9</f>
        <v>38.400000000000006</v>
      </c>
      <c r="V9" s="21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/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  <c r="AIB9" s="27"/>
      <c r="AIC9" s="27"/>
      <c r="AID9" s="27"/>
      <c r="AIE9" s="27"/>
      <c r="AIF9" s="27"/>
      <c r="AIG9" s="27"/>
      <c r="AIH9" s="27"/>
      <c r="AII9" s="27"/>
      <c r="AIJ9" s="27"/>
      <c r="AIK9" s="27"/>
      <c r="AIL9" s="27"/>
      <c r="AIM9" s="27"/>
      <c r="AIN9" s="27"/>
      <c r="AIO9" s="27"/>
      <c r="AIP9" s="27"/>
      <c r="AIQ9" s="27"/>
      <c r="AIR9" s="27"/>
      <c r="AIS9" s="27"/>
      <c r="AIT9" s="27"/>
      <c r="AIU9" s="27"/>
      <c r="AIV9" s="27"/>
      <c r="AIW9" s="27"/>
      <c r="AIX9" s="27"/>
      <c r="AIY9" s="27"/>
      <c r="AIZ9" s="27"/>
      <c r="AJA9" s="27"/>
      <c r="AJB9" s="27"/>
      <c r="AJC9" s="27"/>
      <c r="AJD9" s="27"/>
      <c r="AJE9" s="27"/>
      <c r="AJF9" s="27"/>
      <c r="AJG9" s="27"/>
      <c r="AJH9" s="27"/>
      <c r="AJI9" s="27"/>
      <c r="AJJ9" s="27"/>
      <c r="AJK9" s="27"/>
      <c r="AJL9" s="27"/>
      <c r="AJM9" s="27"/>
      <c r="AJN9" s="27"/>
      <c r="AJO9" s="27"/>
      <c r="AJP9" s="27"/>
      <c r="AJQ9" s="27"/>
      <c r="AJR9" s="27"/>
      <c r="AJS9" s="27"/>
      <c r="AJT9" s="27"/>
      <c r="AJU9" s="27"/>
      <c r="AJV9" s="27"/>
      <c r="AJW9" s="27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7"/>
      <c r="AKW9" s="27"/>
      <c r="AKX9" s="27"/>
      <c r="AKY9" s="27"/>
      <c r="AKZ9" s="27"/>
      <c r="ALA9" s="27"/>
      <c r="ALB9" s="27"/>
      <c r="ALC9" s="27"/>
      <c r="ALD9" s="27"/>
      <c r="ALE9" s="27"/>
      <c r="ALF9" s="27"/>
      <c r="ALG9" s="27"/>
      <c r="ALH9" s="27"/>
      <c r="ALI9" s="27"/>
      <c r="ALJ9" s="27"/>
      <c r="ALK9" s="27"/>
      <c r="ALL9" s="27"/>
      <c r="ALM9" s="27"/>
      <c r="ALN9" s="27"/>
      <c r="ALO9" s="27"/>
      <c r="ALP9" s="27"/>
      <c r="ALQ9" s="27"/>
      <c r="ALR9" s="27"/>
      <c r="ALS9" s="27"/>
      <c r="ALT9" s="27"/>
      <c r="ALU9" s="27"/>
      <c r="ALV9" s="27"/>
      <c r="ALW9" s="27"/>
      <c r="ALX9" s="27"/>
      <c r="ALY9" s="27"/>
      <c r="ALZ9" s="27"/>
      <c r="AMA9" s="27"/>
      <c r="AMB9" s="27"/>
      <c r="AMC9" s="27"/>
      <c r="AMD9" s="27"/>
      <c r="AME9" s="27"/>
      <c r="AMF9" s="27"/>
      <c r="AMG9" s="27"/>
      <c r="AMH9" s="27"/>
      <c r="AMI9" s="27"/>
      <c r="AMJ9" s="27"/>
      <c r="AMK9" s="27"/>
    </row>
    <row r="10" spans="1:1025" ht="15" customHeight="1">
      <c r="A10" s="28" t="s">
        <v>15</v>
      </c>
      <c r="B10" s="109"/>
      <c r="C10" s="87" t="s">
        <v>39</v>
      </c>
      <c r="D10" s="29" t="s">
        <v>40</v>
      </c>
      <c r="E10" s="30">
        <v>2</v>
      </c>
      <c r="F10" s="91" t="b">
        <v>0</v>
      </c>
      <c r="G10" s="31">
        <v>1.9</v>
      </c>
      <c r="H10" s="31">
        <v>0.9</v>
      </c>
      <c r="I10" s="32" t="s">
        <v>19</v>
      </c>
      <c r="J10" s="32" t="s">
        <v>20</v>
      </c>
      <c r="K10" s="33">
        <v>1.9</v>
      </c>
      <c r="L10" s="33">
        <v>0.9</v>
      </c>
      <c r="M10" s="33"/>
      <c r="N10" s="34"/>
      <c r="O10" s="74" t="s">
        <v>21</v>
      </c>
      <c r="P10" s="73" t="s">
        <v>22</v>
      </c>
      <c r="Q10" s="26"/>
      <c r="R10" s="27"/>
      <c r="S10" s="42"/>
      <c r="T10" s="43"/>
      <c r="U10" s="43"/>
      <c r="V10" s="21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7"/>
      <c r="AMG10" s="27"/>
      <c r="AMH10" s="27"/>
      <c r="AMI10" s="27"/>
      <c r="AMJ10" s="27"/>
      <c r="AMK10" s="27"/>
    </row>
    <row r="11" spans="1:1025" ht="15" customHeight="1">
      <c r="A11" s="28" t="s">
        <v>15</v>
      </c>
      <c r="B11" s="109"/>
      <c r="C11" s="87" t="s">
        <v>41</v>
      </c>
      <c r="D11" s="29" t="s">
        <v>42</v>
      </c>
      <c r="E11" s="30">
        <v>2</v>
      </c>
      <c r="F11" s="91" t="b">
        <v>0</v>
      </c>
      <c r="G11" s="31">
        <v>1.9</v>
      </c>
      <c r="H11" s="31">
        <v>0.9</v>
      </c>
      <c r="I11" s="32" t="s">
        <v>19</v>
      </c>
      <c r="J11" s="32" t="s">
        <v>20</v>
      </c>
      <c r="K11" s="33">
        <v>1.9</v>
      </c>
      <c r="L11" s="33">
        <v>0.9</v>
      </c>
      <c r="M11" s="33"/>
      <c r="N11" s="34"/>
      <c r="O11" s="74" t="s">
        <v>21</v>
      </c>
      <c r="P11" s="73" t="s">
        <v>22</v>
      </c>
      <c r="Q11" s="26"/>
      <c r="R11" s="27"/>
      <c r="S11" s="42"/>
      <c r="T11" s="43"/>
      <c r="U11" s="43"/>
      <c r="V11" s="21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</row>
    <row r="12" spans="1:1025" ht="15.75">
      <c r="A12" s="28" t="s">
        <v>15</v>
      </c>
      <c r="B12" s="107" t="s">
        <v>43</v>
      </c>
      <c r="C12" s="87" t="s">
        <v>44</v>
      </c>
      <c r="D12" s="29" t="s">
        <v>45</v>
      </c>
      <c r="E12" s="39">
        <v>1</v>
      </c>
      <c r="F12" s="91" t="b">
        <v>0</v>
      </c>
      <c r="G12" s="40">
        <v>6</v>
      </c>
      <c r="H12" s="40">
        <v>0.7</v>
      </c>
      <c r="I12" s="32" t="s">
        <v>19</v>
      </c>
      <c r="J12" s="32" t="s">
        <v>20</v>
      </c>
      <c r="K12" s="40">
        <v>6</v>
      </c>
      <c r="L12" s="40">
        <v>0.7</v>
      </c>
      <c r="M12" s="33"/>
      <c r="N12" s="34"/>
      <c r="O12" s="74" t="s">
        <v>21</v>
      </c>
      <c r="P12" s="73" t="s">
        <v>22</v>
      </c>
      <c r="Q12" s="41"/>
      <c r="R12" s="27"/>
      <c r="S12" s="42"/>
      <c r="T12" s="43"/>
      <c r="U12" s="43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</row>
    <row r="13" spans="1:1025" ht="15" customHeight="1">
      <c r="A13" s="28" t="s">
        <v>15</v>
      </c>
      <c r="B13" s="107"/>
      <c r="C13" s="87" t="s">
        <v>46</v>
      </c>
      <c r="D13" s="29" t="s">
        <v>47</v>
      </c>
      <c r="E13" s="39">
        <v>1</v>
      </c>
      <c r="F13" s="91" t="b">
        <v>0</v>
      </c>
      <c r="G13" s="40">
        <v>6</v>
      </c>
      <c r="H13" s="40">
        <v>0.7</v>
      </c>
      <c r="I13" s="32" t="s">
        <v>19</v>
      </c>
      <c r="J13" s="32" t="s">
        <v>20</v>
      </c>
      <c r="K13" s="40">
        <v>6</v>
      </c>
      <c r="L13" s="40">
        <v>0.7</v>
      </c>
      <c r="M13" s="33"/>
      <c r="N13" s="34"/>
      <c r="O13" s="74" t="s">
        <v>21</v>
      </c>
      <c r="P13" s="73" t="s">
        <v>22</v>
      </c>
      <c r="Q13" s="41"/>
      <c r="R13" s="27"/>
      <c r="S13" s="42"/>
      <c r="T13" s="43"/>
      <c r="U13" s="43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  <c r="AMK13" s="27"/>
    </row>
    <row r="14" spans="1:1025" ht="15" customHeight="1">
      <c r="A14" s="28" t="s">
        <v>15</v>
      </c>
      <c r="B14" s="107"/>
      <c r="C14" s="87" t="s">
        <v>48</v>
      </c>
      <c r="D14" s="29" t="s">
        <v>49</v>
      </c>
      <c r="E14" s="39">
        <v>1</v>
      </c>
      <c r="F14" s="91" t="b">
        <v>0</v>
      </c>
      <c r="G14" s="40">
        <v>6</v>
      </c>
      <c r="H14" s="40">
        <v>0.7</v>
      </c>
      <c r="I14" s="32" t="s">
        <v>19</v>
      </c>
      <c r="J14" s="32" t="s">
        <v>20</v>
      </c>
      <c r="K14" s="40">
        <v>6</v>
      </c>
      <c r="L14" s="40">
        <v>0.7</v>
      </c>
      <c r="M14" s="33"/>
      <c r="N14" s="34"/>
      <c r="O14" s="74" t="s">
        <v>21</v>
      </c>
      <c r="P14" s="73" t="s">
        <v>22</v>
      </c>
      <c r="Q14" s="41"/>
      <c r="R14" s="27"/>
      <c r="S14" s="42"/>
      <c r="T14" s="43"/>
      <c r="U14" s="43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  <c r="AMK14" s="27"/>
    </row>
    <row r="15" spans="1:1025" ht="15" customHeight="1">
      <c r="A15" s="28" t="s">
        <v>15</v>
      </c>
      <c r="B15" s="107"/>
      <c r="C15" s="87" t="s">
        <v>50</v>
      </c>
      <c r="D15" s="29" t="s">
        <v>51</v>
      </c>
      <c r="E15" s="39">
        <v>2</v>
      </c>
      <c r="F15" s="91" t="b">
        <v>0</v>
      </c>
      <c r="G15" s="40">
        <v>6</v>
      </c>
      <c r="H15" s="40">
        <v>0.7</v>
      </c>
      <c r="I15" s="32" t="s">
        <v>19</v>
      </c>
      <c r="J15" s="32" t="s">
        <v>20</v>
      </c>
      <c r="K15" s="40">
        <v>6</v>
      </c>
      <c r="L15" s="40">
        <v>0.7</v>
      </c>
      <c r="M15" s="33"/>
      <c r="N15" s="34"/>
      <c r="O15" s="74" t="s">
        <v>21</v>
      </c>
      <c r="P15" s="73" t="s">
        <v>22</v>
      </c>
      <c r="Q15" s="41"/>
      <c r="R15" s="27"/>
      <c r="S15" s="42"/>
      <c r="T15" s="43"/>
      <c r="U15" s="43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  <c r="AMK15" s="27"/>
    </row>
    <row r="16" spans="1:1025" ht="15" customHeight="1">
      <c r="A16" s="28" t="s">
        <v>15</v>
      </c>
      <c r="B16" s="107"/>
      <c r="C16" s="87" t="s">
        <v>52</v>
      </c>
      <c r="D16" s="29" t="s">
        <v>53</v>
      </c>
      <c r="E16" s="39">
        <v>2</v>
      </c>
      <c r="F16" s="91" t="b">
        <v>0</v>
      </c>
      <c r="G16" s="40">
        <v>6</v>
      </c>
      <c r="H16" s="40">
        <v>0.7</v>
      </c>
      <c r="I16" s="32" t="s">
        <v>19</v>
      </c>
      <c r="J16" s="32" t="s">
        <v>20</v>
      </c>
      <c r="K16" s="40">
        <v>6</v>
      </c>
      <c r="L16" s="40">
        <v>0.7</v>
      </c>
      <c r="M16" s="33"/>
      <c r="N16" s="34"/>
      <c r="O16" s="74"/>
      <c r="P16" s="73"/>
      <c r="Q16" s="41"/>
      <c r="R16" s="27"/>
      <c r="S16" s="42"/>
      <c r="T16" s="43"/>
      <c r="U16" s="43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7"/>
      <c r="AMG16" s="27"/>
      <c r="AMH16" s="27"/>
      <c r="AMI16" s="27"/>
      <c r="AMJ16" s="27"/>
      <c r="AMK16" s="27"/>
    </row>
    <row r="17" spans="1:1025" ht="15" customHeight="1">
      <c r="A17" s="28" t="s">
        <v>15</v>
      </c>
      <c r="B17" s="107"/>
      <c r="C17" s="87" t="s">
        <v>54</v>
      </c>
      <c r="D17" s="29" t="s">
        <v>55</v>
      </c>
      <c r="E17" s="39">
        <v>2</v>
      </c>
      <c r="F17" s="91" t="b">
        <v>0</v>
      </c>
      <c r="G17" s="40">
        <v>6</v>
      </c>
      <c r="H17" s="40">
        <v>0.7</v>
      </c>
      <c r="I17" s="32" t="s">
        <v>19</v>
      </c>
      <c r="J17" s="32" t="s">
        <v>20</v>
      </c>
      <c r="K17" s="40">
        <v>6</v>
      </c>
      <c r="L17" s="40">
        <v>0.7</v>
      </c>
      <c r="M17" s="33"/>
      <c r="N17" s="34"/>
      <c r="O17" s="74" t="s">
        <v>21</v>
      </c>
      <c r="P17" s="73" t="s">
        <v>22</v>
      </c>
      <c r="Q17" s="41"/>
      <c r="R17" s="27"/>
      <c r="S17" s="42"/>
      <c r="T17" s="43"/>
      <c r="U17" s="43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  <c r="AME17" s="27"/>
      <c r="AMF17" s="27"/>
      <c r="AMG17" s="27"/>
      <c r="AMH17" s="27"/>
      <c r="AMI17" s="27"/>
      <c r="AMJ17" s="27"/>
      <c r="AMK17" s="27"/>
    </row>
    <row r="18" spans="1:1025" ht="15" customHeight="1">
      <c r="A18" s="28" t="s">
        <v>15</v>
      </c>
      <c r="B18" s="107"/>
      <c r="C18" s="87" t="s">
        <v>56</v>
      </c>
      <c r="D18" s="29" t="s">
        <v>57</v>
      </c>
      <c r="E18" s="39">
        <v>1</v>
      </c>
      <c r="F18" s="91" t="b">
        <v>0</v>
      </c>
      <c r="G18" s="40">
        <v>6</v>
      </c>
      <c r="H18" s="40">
        <v>0.7</v>
      </c>
      <c r="I18" s="32" t="s">
        <v>19</v>
      </c>
      <c r="J18" s="32" t="s">
        <v>20</v>
      </c>
      <c r="K18" s="40">
        <v>6</v>
      </c>
      <c r="L18" s="40">
        <v>0.7</v>
      </c>
      <c r="M18" s="33"/>
      <c r="N18" s="34"/>
      <c r="O18" s="74" t="s">
        <v>21</v>
      </c>
      <c r="P18" s="73" t="s">
        <v>22</v>
      </c>
      <c r="Q18" s="41"/>
      <c r="R18" s="27"/>
      <c r="S18" s="42"/>
      <c r="T18" s="43"/>
      <c r="U18" s="43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  <c r="ALK18" s="27"/>
      <c r="ALL18" s="27"/>
      <c r="ALM18" s="27"/>
      <c r="ALN18" s="27"/>
      <c r="ALO18" s="27"/>
      <c r="ALP18" s="27"/>
      <c r="ALQ18" s="27"/>
      <c r="ALR18" s="27"/>
      <c r="ALS18" s="27"/>
      <c r="ALT18" s="27"/>
      <c r="ALU18" s="27"/>
      <c r="ALV18" s="27"/>
      <c r="ALW18" s="27"/>
      <c r="ALX18" s="27"/>
      <c r="ALY18" s="27"/>
      <c r="ALZ18" s="27"/>
      <c r="AMA18" s="27"/>
      <c r="AMB18" s="27"/>
      <c r="AMC18" s="27"/>
      <c r="AMD18" s="27"/>
      <c r="AME18" s="27"/>
      <c r="AMF18" s="27"/>
      <c r="AMG18" s="27"/>
      <c r="AMH18" s="27"/>
      <c r="AMI18" s="27"/>
      <c r="AMJ18" s="27"/>
      <c r="AMK18" s="27"/>
    </row>
    <row r="19" spans="1:1025" ht="15" customHeight="1">
      <c r="A19" s="28" t="s">
        <v>15</v>
      </c>
      <c r="B19" s="107"/>
      <c r="C19" s="87" t="s">
        <v>58</v>
      </c>
      <c r="D19" s="29" t="s">
        <v>59</v>
      </c>
      <c r="E19" s="39">
        <v>1</v>
      </c>
      <c r="F19" s="91" t="b">
        <v>0</v>
      </c>
      <c r="G19" s="40">
        <v>6</v>
      </c>
      <c r="H19" s="40">
        <v>0.7</v>
      </c>
      <c r="I19" s="32" t="s">
        <v>19</v>
      </c>
      <c r="J19" s="32" t="s">
        <v>20</v>
      </c>
      <c r="K19" s="40">
        <v>6</v>
      </c>
      <c r="L19" s="40">
        <v>0.7</v>
      </c>
      <c r="M19" s="33"/>
      <c r="N19" s="34"/>
      <c r="O19" s="74" t="s">
        <v>21</v>
      </c>
      <c r="P19" s="73" t="s">
        <v>22</v>
      </c>
      <c r="Q19" s="41"/>
      <c r="R19" s="27"/>
      <c r="S19" s="42"/>
      <c r="T19" s="43"/>
      <c r="U19" s="43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27"/>
      <c r="AIR19" s="27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  <c r="AKL19" s="27"/>
      <c r="AKM19" s="27"/>
      <c r="AKN19" s="27"/>
      <c r="AKO19" s="27"/>
      <c r="AKP19" s="27"/>
      <c r="AKQ19" s="27"/>
      <c r="AKR19" s="27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  <c r="ALK19" s="27"/>
      <c r="ALL19" s="27"/>
      <c r="ALM19" s="27"/>
      <c r="ALN19" s="27"/>
      <c r="ALO19" s="27"/>
      <c r="ALP19" s="27"/>
      <c r="ALQ19" s="27"/>
      <c r="ALR19" s="27"/>
      <c r="ALS19" s="27"/>
      <c r="ALT19" s="27"/>
      <c r="ALU19" s="27"/>
      <c r="ALV19" s="27"/>
      <c r="ALW19" s="27"/>
      <c r="ALX19" s="27"/>
      <c r="ALY19" s="27"/>
      <c r="ALZ19" s="27"/>
      <c r="AMA19" s="27"/>
      <c r="AMB19" s="27"/>
      <c r="AMC19" s="27"/>
      <c r="AMD19" s="27"/>
      <c r="AME19" s="27"/>
      <c r="AMF19" s="27"/>
      <c r="AMG19" s="27"/>
      <c r="AMH19" s="27"/>
      <c r="AMI19" s="27"/>
      <c r="AMJ19" s="27"/>
      <c r="AMK19" s="27"/>
    </row>
    <row r="20" spans="1:1025" ht="15.75">
      <c r="A20" s="28" t="s">
        <v>15</v>
      </c>
      <c r="B20" s="106" t="s">
        <v>60</v>
      </c>
      <c r="C20" s="44" t="s">
        <v>61</v>
      </c>
      <c r="D20" s="45" t="s">
        <v>62</v>
      </c>
      <c r="E20" s="39">
        <v>1</v>
      </c>
      <c r="F20" s="91" t="b">
        <v>0</v>
      </c>
      <c r="G20" s="40">
        <v>6.91</v>
      </c>
      <c r="H20" s="40">
        <v>4.24</v>
      </c>
      <c r="I20" s="39" t="s">
        <v>63</v>
      </c>
      <c r="J20" s="39" t="s">
        <v>64</v>
      </c>
      <c r="K20" s="40">
        <f>G20+0.3</f>
        <v>7.21</v>
      </c>
      <c r="L20" s="40">
        <f>H20+0.3</f>
        <v>4.54</v>
      </c>
      <c r="M20" s="33">
        <f t="shared" ref="M20:M23" si="0">L20*K20*E20</f>
        <v>32.733400000000003</v>
      </c>
      <c r="N20" s="34"/>
      <c r="O20" s="74"/>
      <c r="P20" s="73"/>
      <c r="Q20" s="16"/>
      <c r="R20" s="46"/>
      <c r="S20" s="47"/>
      <c r="T20" s="48"/>
      <c r="U20" s="48"/>
      <c r="V20" s="113"/>
      <c r="W20" s="49"/>
      <c r="X20" s="49"/>
      <c r="Y20" s="49"/>
      <c r="Z20" s="49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  <c r="AMK20" s="27"/>
    </row>
    <row r="21" spans="1:1025" ht="15" customHeight="1">
      <c r="A21" s="28" t="s">
        <v>15</v>
      </c>
      <c r="B21" s="107"/>
      <c r="C21" s="44" t="s">
        <v>65</v>
      </c>
      <c r="D21" s="45" t="s">
        <v>66</v>
      </c>
      <c r="E21" s="39">
        <v>1</v>
      </c>
      <c r="F21" s="91" t="b">
        <v>0</v>
      </c>
      <c r="G21" s="40">
        <v>0.88</v>
      </c>
      <c r="H21" s="40">
        <v>3.85</v>
      </c>
      <c r="I21" s="39" t="s">
        <v>63</v>
      </c>
      <c r="J21" s="39" t="s">
        <v>64</v>
      </c>
      <c r="K21" s="40">
        <f t="shared" ref="K21:L24" si="1">G21+0.3</f>
        <v>1.18</v>
      </c>
      <c r="L21" s="40">
        <f t="shared" si="1"/>
        <v>4.1500000000000004</v>
      </c>
      <c r="M21" s="33"/>
      <c r="N21" s="34"/>
      <c r="O21" s="74" t="s">
        <v>21</v>
      </c>
      <c r="P21" s="73" t="s">
        <v>22</v>
      </c>
      <c r="Q21" s="16"/>
      <c r="R21" s="46"/>
      <c r="S21" s="47"/>
      <c r="T21" s="48"/>
      <c r="U21" s="48"/>
      <c r="V21" s="113"/>
      <c r="W21" s="49"/>
      <c r="X21" s="49"/>
      <c r="Y21" s="49"/>
      <c r="Z21" s="49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7"/>
      <c r="AMG21" s="27"/>
      <c r="AMH21" s="27"/>
      <c r="AMI21" s="27"/>
      <c r="AMJ21" s="27"/>
      <c r="AMK21" s="27"/>
    </row>
    <row r="22" spans="1:1025" ht="15" customHeight="1">
      <c r="A22" s="28" t="s">
        <v>15</v>
      </c>
      <c r="B22" s="107"/>
      <c r="C22" s="44" t="s">
        <v>67</v>
      </c>
      <c r="D22" s="45" t="s">
        <v>68</v>
      </c>
      <c r="E22" s="39">
        <v>1</v>
      </c>
      <c r="F22" s="91" t="b">
        <v>0</v>
      </c>
      <c r="G22" s="40">
        <v>0.36</v>
      </c>
      <c r="H22" s="40">
        <v>3.84</v>
      </c>
      <c r="I22" s="39" t="s">
        <v>63</v>
      </c>
      <c r="J22" s="39" t="s">
        <v>64</v>
      </c>
      <c r="K22" s="40">
        <v>3.6</v>
      </c>
      <c r="L22" s="40">
        <v>3.84</v>
      </c>
      <c r="M22" s="33">
        <f t="shared" ref="M22" si="2">L22*K22*E22</f>
        <v>13.824</v>
      </c>
      <c r="N22" s="34"/>
      <c r="O22" s="74" t="s">
        <v>21</v>
      </c>
      <c r="P22" s="73" t="s">
        <v>22</v>
      </c>
      <c r="Q22" s="16"/>
      <c r="R22" s="46"/>
      <c r="S22" s="47"/>
      <c r="T22" s="48"/>
      <c r="U22" s="48"/>
      <c r="V22" s="113"/>
      <c r="W22" s="49"/>
      <c r="X22" s="49"/>
      <c r="Y22" s="49"/>
      <c r="Z22" s="49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  <c r="ALK22" s="27"/>
      <c r="ALL22" s="27"/>
      <c r="ALM22" s="27"/>
      <c r="ALN22" s="27"/>
      <c r="ALO22" s="27"/>
      <c r="ALP22" s="27"/>
      <c r="ALQ22" s="27"/>
      <c r="ALR22" s="27"/>
      <c r="ALS22" s="27"/>
      <c r="ALT22" s="27"/>
      <c r="ALU22" s="27"/>
      <c r="ALV22" s="27"/>
      <c r="ALW22" s="27"/>
      <c r="ALX22" s="27"/>
      <c r="ALY22" s="27"/>
      <c r="ALZ22" s="27"/>
      <c r="AMA22" s="27"/>
      <c r="AMB22" s="27"/>
      <c r="AMC22" s="27"/>
      <c r="AMD22" s="27"/>
      <c r="AME22" s="27"/>
      <c r="AMF22" s="27"/>
      <c r="AMG22" s="27"/>
      <c r="AMH22" s="27"/>
      <c r="AMI22" s="27"/>
      <c r="AMJ22" s="27"/>
      <c r="AMK22" s="27"/>
    </row>
    <row r="23" spans="1:1025" ht="15" customHeight="1">
      <c r="A23" s="28" t="s">
        <v>15</v>
      </c>
      <c r="B23" s="107"/>
      <c r="C23" s="44" t="s">
        <v>69</v>
      </c>
      <c r="D23" s="45" t="s">
        <v>70</v>
      </c>
      <c r="E23" s="39">
        <v>1</v>
      </c>
      <c r="F23" s="91" t="b">
        <v>0</v>
      </c>
      <c r="G23" s="40">
        <v>1.73</v>
      </c>
      <c r="H23" s="40">
        <v>0.83</v>
      </c>
      <c r="I23" s="39" t="s">
        <v>63</v>
      </c>
      <c r="J23" s="39" t="s">
        <v>64</v>
      </c>
      <c r="K23" s="40">
        <f t="shared" si="1"/>
        <v>2.0299999999999998</v>
      </c>
      <c r="L23" s="40">
        <f t="shared" si="1"/>
        <v>1.1299999999999999</v>
      </c>
      <c r="M23" s="33">
        <f t="shared" si="0"/>
        <v>2.2938999999999994</v>
      </c>
      <c r="N23" s="34"/>
      <c r="O23" s="74" t="s">
        <v>21</v>
      </c>
      <c r="P23" s="73" t="s">
        <v>22</v>
      </c>
      <c r="Q23" s="16"/>
      <c r="R23" s="46"/>
      <c r="S23" s="47"/>
      <c r="T23" s="48"/>
      <c r="U23" s="48"/>
      <c r="V23" s="113"/>
      <c r="W23" s="49"/>
      <c r="X23" s="49"/>
      <c r="Y23" s="49"/>
      <c r="Z23" s="49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</row>
    <row r="24" spans="1:1025" ht="15" customHeight="1">
      <c r="A24" s="28" t="s">
        <v>15</v>
      </c>
      <c r="B24" s="110"/>
      <c r="C24" s="44" t="s">
        <v>71</v>
      </c>
      <c r="D24" s="45" t="s">
        <v>72</v>
      </c>
      <c r="E24" s="39">
        <v>1</v>
      </c>
      <c r="F24" s="91" t="b">
        <v>0</v>
      </c>
      <c r="G24" s="40">
        <v>0.84</v>
      </c>
      <c r="H24" s="40">
        <v>3.31</v>
      </c>
      <c r="I24" s="39" t="s">
        <v>73</v>
      </c>
      <c r="J24" s="39" t="s">
        <v>74</v>
      </c>
      <c r="K24" s="40">
        <f>G24+0.1</f>
        <v>0.94</v>
      </c>
      <c r="L24" s="40">
        <f>H24+0.1</f>
        <v>3.41</v>
      </c>
      <c r="M24" s="33"/>
      <c r="N24" s="34"/>
      <c r="O24" s="74" t="s">
        <v>21</v>
      </c>
      <c r="P24" s="73" t="s">
        <v>22</v>
      </c>
      <c r="Q24" s="16"/>
      <c r="R24" s="46"/>
      <c r="S24" s="47"/>
      <c r="T24" s="48"/>
      <c r="U24" s="48"/>
      <c r="V24" s="113"/>
      <c r="W24" s="49"/>
      <c r="X24" s="49"/>
      <c r="Y24" s="49"/>
      <c r="Z24" s="49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</row>
    <row r="25" spans="1:1025" ht="15" customHeight="1">
      <c r="A25" s="28" t="s">
        <v>15</v>
      </c>
      <c r="B25" s="112" t="s">
        <v>75</v>
      </c>
      <c r="C25" s="44" t="s">
        <v>76</v>
      </c>
      <c r="D25" s="45" t="s">
        <v>77</v>
      </c>
      <c r="E25" s="39">
        <v>2</v>
      </c>
      <c r="F25" s="91" t="b">
        <v>0</v>
      </c>
      <c r="G25" s="40">
        <v>8.4</v>
      </c>
      <c r="H25" s="40">
        <v>1.6</v>
      </c>
      <c r="I25" s="39" t="s">
        <v>63</v>
      </c>
      <c r="J25" s="39" t="s">
        <v>78</v>
      </c>
      <c r="K25" s="39">
        <v>8.35</v>
      </c>
      <c r="L25" s="40">
        <v>1.55</v>
      </c>
      <c r="M25" s="33">
        <f t="shared" ref="M25:M26" si="3">L25*K25*E25</f>
        <v>25.884999999999998</v>
      </c>
      <c r="N25" s="34"/>
      <c r="O25" s="74"/>
      <c r="P25" s="58"/>
      <c r="Q25" s="16"/>
      <c r="R25" s="46"/>
      <c r="S25" s="47"/>
      <c r="T25" s="48"/>
      <c r="U25" s="48"/>
      <c r="V25" s="113"/>
      <c r="W25" s="49"/>
      <c r="X25" s="49"/>
      <c r="Y25" s="49"/>
      <c r="Z25" s="49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  <c r="AMK25" s="27"/>
    </row>
    <row r="26" spans="1:1025" ht="15" customHeight="1">
      <c r="A26" s="28" t="s">
        <v>15</v>
      </c>
      <c r="B26" s="112"/>
      <c r="C26" s="44" t="s">
        <v>79</v>
      </c>
      <c r="D26" s="45" t="s">
        <v>80</v>
      </c>
      <c r="E26" s="39">
        <v>2</v>
      </c>
      <c r="F26" s="91" t="b">
        <v>0</v>
      </c>
      <c r="G26" s="40">
        <v>1.1499999999999999</v>
      </c>
      <c r="H26" s="40">
        <v>3.03</v>
      </c>
      <c r="I26" s="39" t="s">
        <v>63</v>
      </c>
      <c r="J26" s="39" t="s">
        <v>78</v>
      </c>
      <c r="K26" s="39">
        <v>1.1499999999999999</v>
      </c>
      <c r="L26" s="40">
        <v>3.03</v>
      </c>
      <c r="M26" s="33">
        <f t="shared" si="3"/>
        <v>6.9689999999999994</v>
      </c>
      <c r="N26" s="34"/>
      <c r="O26" s="74"/>
      <c r="P26" s="58"/>
      <c r="Q26" s="16"/>
      <c r="R26" s="46"/>
      <c r="S26" s="47"/>
      <c r="T26" s="48"/>
      <c r="U26" s="48"/>
      <c r="V26" s="113"/>
      <c r="W26" s="49"/>
      <c r="X26" s="49"/>
      <c r="Y26" s="49"/>
      <c r="Z26" s="49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  <c r="ALK26" s="27"/>
      <c r="ALL26" s="27"/>
      <c r="ALM26" s="27"/>
      <c r="ALN26" s="27"/>
      <c r="ALO26" s="27"/>
      <c r="ALP26" s="27"/>
      <c r="ALQ26" s="27"/>
      <c r="ALR26" s="27"/>
      <c r="ALS26" s="27"/>
      <c r="ALT26" s="27"/>
      <c r="ALU26" s="27"/>
      <c r="ALV26" s="27"/>
      <c r="ALW26" s="27"/>
      <c r="ALX26" s="27"/>
      <c r="ALY26" s="27"/>
      <c r="ALZ26" s="27"/>
      <c r="AMA26" s="27"/>
      <c r="AMB26" s="27"/>
      <c r="AMC26" s="27"/>
      <c r="AMD26" s="27"/>
      <c r="AME26" s="27"/>
      <c r="AMF26" s="27"/>
      <c r="AMG26" s="27"/>
      <c r="AMH26" s="27"/>
      <c r="AMI26" s="27"/>
      <c r="AMJ26" s="27"/>
      <c r="AMK26" s="27"/>
    </row>
    <row r="27" spans="1:1025" ht="15" customHeight="1">
      <c r="A27" s="28" t="s">
        <v>15</v>
      </c>
      <c r="B27" s="112"/>
      <c r="C27" s="71" t="s">
        <v>81</v>
      </c>
      <c r="D27" s="51" t="s">
        <v>82</v>
      </c>
      <c r="E27" s="52">
        <v>2</v>
      </c>
      <c r="F27" s="91" t="b">
        <v>0</v>
      </c>
      <c r="G27" s="53">
        <v>1.1499999999999999</v>
      </c>
      <c r="H27" s="53">
        <v>3.03</v>
      </c>
      <c r="I27" s="52" t="s">
        <v>63</v>
      </c>
      <c r="J27" s="52" t="s">
        <v>78</v>
      </c>
      <c r="K27" s="52">
        <v>1.1499999999999999</v>
      </c>
      <c r="L27" s="53">
        <v>3.03</v>
      </c>
      <c r="M27" s="54">
        <f t="shared" ref="M27:M38" si="4">L27*K27*E27</f>
        <v>6.9689999999999994</v>
      </c>
      <c r="N27" s="34"/>
      <c r="O27" s="74"/>
      <c r="P27" s="58"/>
      <c r="Q27" s="16"/>
      <c r="R27" s="46"/>
      <c r="S27" s="47"/>
      <c r="T27" s="48"/>
      <c r="U27" s="48"/>
      <c r="V27" s="113"/>
      <c r="W27" s="49"/>
      <c r="X27" s="49"/>
      <c r="Y27" s="49"/>
      <c r="Z27" s="49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27"/>
      <c r="AIR27" s="27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  <c r="ALK27" s="27"/>
      <c r="ALL27" s="27"/>
      <c r="ALM27" s="27"/>
      <c r="ALN27" s="27"/>
      <c r="ALO27" s="27"/>
      <c r="ALP27" s="27"/>
      <c r="ALQ27" s="27"/>
      <c r="ALR27" s="27"/>
      <c r="ALS27" s="27"/>
      <c r="ALT27" s="27"/>
      <c r="ALU27" s="27"/>
      <c r="ALV27" s="27"/>
      <c r="ALW27" s="27"/>
      <c r="ALX27" s="27"/>
      <c r="ALY27" s="27"/>
      <c r="ALZ27" s="27"/>
      <c r="AMA27" s="27"/>
      <c r="AMB27" s="27"/>
      <c r="AMC27" s="27"/>
      <c r="AMD27" s="27"/>
      <c r="AME27" s="27"/>
      <c r="AMF27" s="27"/>
      <c r="AMG27" s="27"/>
      <c r="AMH27" s="27"/>
      <c r="AMI27" s="27"/>
      <c r="AMJ27" s="27"/>
      <c r="AMK27" s="27"/>
    </row>
    <row r="28" spans="1:1025" ht="15" customHeight="1">
      <c r="A28" s="28" t="s">
        <v>15</v>
      </c>
      <c r="B28" s="112"/>
      <c r="C28" s="44" t="s">
        <v>83</v>
      </c>
      <c r="D28" s="45" t="s">
        <v>84</v>
      </c>
      <c r="E28" s="52">
        <v>1</v>
      </c>
      <c r="F28" s="91" t="b">
        <v>0</v>
      </c>
      <c r="G28" s="40">
        <v>4.5999999999999996</v>
      </c>
      <c r="H28" s="53">
        <v>1.6</v>
      </c>
      <c r="I28" s="39" t="s">
        <v>63</v>
      </c>
      <c r="J28" s="39" t="s">
        <v>78</v>
      </c>
      <c r="K28" s="39">
        <v>4.55</v>
      </c>
      <c r="L28" s="40">
        <v>1.55</v>
      </c>
      <c r="M28" s="33">
        <f t="shared" si="4"/>
        <v>7.0525000000000002</v>
      </c>
      <c r="N28" s="34"/>
      <c r="O28" s="74"/>
      <c r="P28" s="58"/>
      <c r="Q28" s="16"/>
      <c r="R28" s="46"/>
      <c r="S28" s="47"/>
      <c r="T28" s="48"/>
      <c r="U28" s="48"/>
      <c r="V28" s="113"/>
      <c r="W28" s="49"/>
      <c r="X28" s="49"/>
      <c r="Y28" s="49"/>
      <c r="Z28" s="49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7"/>
      <c r="AMG28" s="27"/>
      <c r="AMH28" s="27"/>
      <c r="AMI28" s="27"/>
      <c r="AMJ28" s="27"/>
      <c r="AMK28" s="27"/>
    </row>
    <row r="29" spans="1:1025" ht="15" customHeight="1">
      <c r="A29" s="28" t="s">
        <v>15</v>
      </c>
      <c r="B29" s="112"/>
      <c r="C29" s="44" t="s">
        <v>85</v>
      </c>
      <c r="D29" s="45" t="s">
        <v>80</v>
      </c>
      <c r="E29" s="52">
        <v>1</v>
      </c>
      <c r="F29" s="91" t="b">
        <v>0</v>
      </c>
      <c r="G29" s="40">
        <v>4.5999999999999996</v>
      </c>
      <c r="H29" s="53">
        <v>1.6</v>
      </c>
      <c r="I29" s="39" t="s">
        <v>63</v>
      </c>
      <c r="J29" s="39" t="s">
        <v>78</v>
      </c>
      <c r="K29" s="39">
        <v>4.55</v>
      </c>
      <c r="L29" s="40">
        <v>1.55</v>
      </c>
      <c r="M29" s="33">
        <f t="shared" si="4"/>
        <v>7.0525000000000002</v>
      </c>
      <c r="N29" s="34"/>
      <c r="O29" s="74"/>
      <c r="P29" s="58"/>
      <c r="Q29" s="16"/>
      <c r="R29" s="46"/>
      <c r="S29" s="47"/>
      <c r="T29" s="48"/>
      <c r="U29" s="48"/>
      <c r="V29" s="113"/>
      <c r="W29" s="49"/>
      <c r="X29" s="49"/>
      <c r="Y29" s="49"/>
      <c r="Z29" s="49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27"/>
      <c r="AIR29" s="27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7"/>
      <c r="ALE29" s="27"/>
      <c r="ALF29" s="27"/>
      <c r="ALG29" s="27"/>
      <c r="ALH29" s="27"/>
      <c r="ALI29" s="27"/>
      <c r="ALJ29" s="27"/>
      <c r="ALK29" s="27"/>
      <c r="ALL29" s="27"/>
      <c r="ALM29" s="27"/>
      <c r="ALN29" s="27"/>
      <c r="ALO29" s="27"/>
      <c r="ALP29" s="27"/>
      <c r="ALQ29" s="27"/>
      <c r="ALR29" s="27"/>
      <c r="ALS29" s="27"/>
      <c r="ALT29" s="27"/>
      <c r="ALU29" s="27"/>
      <c r="ALV29" s="27"/>
      <c r="ALW29" s="27"/>
      <c r="ALX29" s="27"/>
      <c r="ALY29" s="27"/>
      <c r="ALZ29" s="27"/>
      <c r="AMA29" s="27"/>
      <c r="AMB29" s="27"/>
      <c r="AMC29" s="27"/>
      <c r="AMD29" s="27"/>
      <c r="AME29" s="27"/>
      <c r="AMF29" s="27"/>
      <c r="AMG29" s="27"/>
      <c r="AMH29" s="27"/>
      <c r="AMI29" s="27"/>
      <c r="AMJ29" s="27"/>
      <c r="AMK29" s="27"/>
    </row>
    <row r="30" spans="1:1025" ht="15.75">
      <c r="A30" s="28" t="s">
        <v>15</v>
      </c>
      <c r="B30" s="106" t="s">
        <v>86</v>
      </c>
      <c r="C30" s="55" t="s">
        <v>87</v>
      </c>
      <c r="D30" s="55" t="s">
        <v>88</v>
      </c>
      <c r="E30" s="56">
        <v>1</v>
      </c>
      <c r="F30" s="91" t="b">
        <v>0</v>
      </c>
      <c r="G30" s="57">
        <v>4</v>
      </c>
      <c r="H30" s="57">
        <v>3</v>
      </c>
      <c r="I30" s="52" t="s">
        <v>63</v>
      </c>
      <c r="J30" s="52" t="s">
        <v>78</v>
      </c>
      <c r="K30" s="57">
        <v>3.95</v>
      </c>
      <c r="L30" s="57">
        <v>2.95</v>
      </c>
      <c r="M30" s="33">
        <f t="shared" si="4"/>
        <v>11.652500000000002</v>
      </c>
      <c r="N30" s="34"/>
      <c r="O30" s="74"/>
      <c r="P30" s="73" t="s">
        <v>89</v>
      </c>
      <c r="Q30" s="16"/>
      <c r="R30" s="46"/>
      <c r="S30" s="50"/>
      <c r="T30" s="48"/>
      <c r="U30" s="48"/>
      <c r="V30" s="46"/>
      <c r="W30" s="49"/>
      <c r="X30" s="49"/>
      <c r="Y30" s="49"/>
      <c r="Z30" s="49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27"/>
      <c r="AIR30" s="27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7"/>
      <c r="ALE30" s="27"/>
      <c r="ALF30" s="27"/>
      <c r="ALG30" s="27"/>
      <c r="ALH30" s="27"/>
      <c r="ALI30" s="27"/>
      <c r="ALJ30" s="27"/>
      <c r="ALK30" s="27"/>
      <c r="ALL30" s="27"/>
      <c r="ALM30" s="27"/>
      <c r="ALN30" s="27"/>
      <c r="ALO30" s="27"/>
      <c r="ALP30" s="27"/>
      <c r="ALQ30" s="27"/>
      <c r="ALR30" s="27"/>
      <c r="ALS30" s="27"/>
      <c r="ALT30" s="27"/>
      <c r="ALU30" s="27"/>
      <c r="ALV30" s="27"/>
      <c r="ALW30" s="27"/>
      <c r="ALX30" s="27"/>
      <c r="ALY30" s="27"/>
      <c r="ALZ30" s="27"/>
      <c r="AMA30" s="27"/>
      <c r="AMB30" s="27"/>
      <c r="AMC30" s="27"/>
      <c r="AMD30" s="27"/>
      <c r="AME30" s="27"/>
      <c r="AMF30" s="27"/>
      <c r="AMG30" s="27"/>
      <c r="AMH30" s="27"/>
      <c r="AMI30" s="27"/>
      <c r="AMJ30" s="27"/>
      <c r="AMK30" s="27"/>
    </row>
    <row r="31" spans="1:1025" ht="15" customHeight="1">
      <c r="A31" s="28" t="s">
        <v>15</v>
      </c>
      <c r="B31" s="107"/>
      <c r="C31" s="55" t="s">
        <v>90</v>
      </c>
      <c r="D31" s="55" t="s">
        <v>91</v>
      </c>
      <c r="E31" s="56">
        <v>1</v>
      </c>
      <c r="F31" s="91" t="b">
        <v>0</v>
      </c>
      <c r="G31" s="57">
        <v>4</v>
      </c>
      <c r="H31" s="57">
        <v>3</v>
      </c>
      <c r="I31" s="56" t="s">
        <v>63</v>
      </c>
      <c r="J31" s="56" t="s">
        <v>78</v>
      </c>
      <c r="K31" s="57">
        <v>3.95</v>
      </c>
      <c r="L31" s="57">
        <v>2.95</v>
      </c>
      <c r="M31" s="33">
        <f t="shared" si="4"/>
        <v>11.652500000000002</v>
      </c>
      <c r="N31" s="34"/>
      <c r="O31" s="74"/>
      <c r="P31" s="73" t="s">
        <v>89</v>
      </c>
      <c r="Q31" s="16"/>
      <c r="R31" s="49"/>
      <c r="S31" s="49"/>
      <c r="T31" s="49"/>
      <c r="U31" s="49"/>
      <c r="V31" s="46"/>
      <c r="W31" s="49"/>
      <c r="X31" s="49"/>
      <c r="Y31" s="49"/>
      <c r="Z31" s="49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/>
      <c r="XO31" s="27"/>
      <c r="XP31" s="27"/>
      <c r="XQ31" s="27"/>
      <c r="XR31" s="27"/>
      <c r="XS31" s="27"/>
      <c r="XT31" s="27"/>
      <c r="XU31" s="27"/>
      <c r="XV31" s="27"/>
      <c r="XW31" s="27"/>
      <c r="XX31" s="27"/>
      <c r="XY31" s="27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/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7"/>
      <c r="ABN31" s="27"/>
      <c r="ABO31" s="27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7"/>
      <c r="AFD31" s="27"/>
      <c r="AFE31" s="27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  <c r="AGC31" s="27"/>
      <c r="AGD31" s="27"/>
      <c r="AGE31" s="27"/>
      <c r="AGF31" s="27"/>
      <c r="AGG31" s="27"/>
      <c r="AGH31" s="27"/>
      <c r="AGI31" s="27"/>
      <c r="AGJ31" s="27"/>
      <c r="AGK31" s="27"/>
      <c r="AGL31" s="27"/>
      <c r="AGM31" s="27"/>
      <c r="AGN31" s="27"/>
      <c r="AGO31" s="27"/>
      <c r="AGP31" s="27"/>
      <c r="AGQ31" s="27"/>
      <c r="AGR31" s="27"/>
      <c r="AGS31" s="27"/>
      <c r="AGT31" s="27"/>
      <c r="AGU31" s="27"/>
      <c r="AGV31" s="27"/>
      <c r="AGW31" s="27"/>
      <c r="AGX31" s="27"/>
      <c r="AGY31" s="27"/>
      <c r="AGZ31" s="27"/>
      <c r="AHA31" s="27"/>
      <c r="AHB31" s="27"/>
      <c r="AHC31" s="27"/>
      <c r="AHD31" s="27"/>
      <c r="AHE31" s="27"/>
      <c r="AHF31" s="27"/>
      <c r="AHG31" s="27"/>
      <c r="AHH31" s="27"/>
      <c r="AHI31" s="27"/>
      <c r="AHJ31" s="27"/>
      <c r="AHK31" s="27"/>
      <c r="AHL31" s="27"/>
      <c r="AHM31" s="27"/>
      <c r="AHN31" s="27"/>
      <c r="AHO31" s="27"/>
      <c r="AHP31" s="27"/>
      <c r="AHQ31" s="27"/>
      <c r="AHR31" s="27"/>
      <c r="AHS31" s="27"/>
      <c r="AHT31" s="27"/>
      <c r="AHU31" s="27"/>
      <c r="AHV31" s="27"/>
      <c r="AHW31" s="27"/>
      <c r="AHX31" s="27"/>
      <c r="AHY31" s="27"/>
      <c r="AHZ31" s="27"/>
      <c r="AIA31" s="27"/>
      <c r="AIB31" s="27"/>
      <c r="AIC31" s="27"/>
      <c r="AID31" s="27"/>
      <c r="AIE31" s="27"/>
      <c r="AIF31" s="27"/>
      <c r="AIG31" s="27"/>
      <c r="AIH31" s="27"/>
      <c r="AII31" s="27"/>
      <c r="AIJ31" s="27"/>
      <c r="AIK31" s="27"/>
      <c r="AIL31" s="27"/>
      <c r="AIM31" s="27"/>
      <c r="AIN31" s="27"/>
      <c r="AIO31" s="27"/>
      <c r="AIP31" s="27"/>
      <c r="AIQ31" s="27"/>
      <c r="AIR31" s="27"/>
      <c r="AIS31" s="27"/>
      <c r="AIT31" s="27"/>
      <c r="AIU31" s="27"/>
      <c r="AIV31" s="27"/>
      <c r="AIW31" s="27"/>
      <c r="AIX31" s="27"/>
      <c r="AIY31" s="27"/>
      <c r="AIZ31" s="27"/>
      <c r="AJA31" s="27"/>
      <c r="AJB31" s="27"/>
      <c r="AJC31" s="27"/>
      <c r="AJD31" s="27"/>
      <c r="AJE31" s="27"/>
      <c r="AJF31" s="27"/>
      <c r="AJG31" s="27"/>
      <c r="AJH31" s="27"/>
      <c r="AJI31" s="27"/>
      <c r="AJJ31" s="27"/>
      <c r="AJK31" s="27"/>
      <c r="AJL31" s="27"/>
      <c r="AJM31" s="27"/>
      <c r="AJN31" s="27"/>
      <c r="AJO31" s="27"/>
      <c r="AJP31" s="27"/>
      <c r="AJQ31" s="27"/>
      <c r="AJR31" s="27"/>
      <c r="AJS31" s="27"/>
      <c r="AJT31" s="27"/>
      <c r="AJU31" s="27"/>
      <c r="AJV31" s="27"/>
      <c r="AJW31" s="27"/>
      <c r="AJX31" s="27"/>
      <c r="AJY31" s="27"/>
      <c r="AJZ31" s="27"/>
      <c r="AKA31" s="27"/>
      <c r="AKB31" s="27"/>
      <c r="AKC31" s="27"/>
      <c r="AKD31" s="27"/>
      <c r="AKE31" s="27"/>
      <c r="AKF31" s="27"/>
      <c r="AKG31" s="27"/>
      <c r="AKH31" s="27"/>
      <c r="AKI31" s="27"/>
      <c r="AKJ31" s="27"/>
      <c r="AKK31" s="27"/>
      <c r="AKL31" s="27"/>
      <c r="AKM31" s="27"/>
      <c r="AKN31" s="27"/>
      <c r="AKO31" s="27"/>
      <c r="AKP31" s="27"/>
      <c r="AKQ31" s="27"/>
      <c r="AKR31" s="27"/>
      <c r="AKS31" s="27"/>
      <c r="AKT31" s="27"/>
      <c r="AKU31" s="27"/>
      <c r="AKV31" s="27"/>
      <c r="AKW31" s="27"/>
      <c r="AKX31" s="27"/>
      <c r="AKY31" s="27"/>
      <c r="AKZ31" s="27"/>
      <c r="ALA31" s="27"/>
      <c r="ALB31" s="27"/>
      <c r="ALC31" s="27"/>
      <c r="ALD31" s="27"/>
      <c r="ALE31" s="27"/>
      <c r="ALF31" s="27"/>
      <c r="ALG31" s="27"/>
      <c r="ALH31" s="27"/>
      <c r="ALI31" s="27"/>
      <c r="ALJ31" s="27"/>
      <c r="ALK31" s="27"/>
      <c r="ALL31" s="27"/>
      <c r="ALM31" s="27"/>
      <c r="ALN31" s="27"/>
      <c r="ALO31" s="27"/>
      <c r="ALP31" s="27"/>
      <c r="ALQ31" s="27"/>
      <c r="ALR31" s="27"/>
      <c r="ALS31" s="27"/>
      <c r="ALT31" s="27"/>
      <c r="ALU31" s="27"/>
      <c r="ALV31" s="27"/>
      <c r="ALW31" s="27"/>
      <c r="ALX31" s="27"/>
      <c r="ALY31" s="27"/>
      <c r="ALZ31" s="27"/>
      <c r="AMA31" s="27"/>
      <c r="AMB31" s="27"/>
      <c r="AMC31" s="27"/>
      <c r="AMD31" s="27"/>
      <c r="AME31" s="27"/>
      <c r="AMF31" s="27"/>
      <c r="AMG31" s="27"/>
      <c r="AMH31" s="27"/>
      <c r="AMI31" s="27"/>
      <c r="AMJ31" s="27"/>
      <c r="AMK31" s="27"/>
    </row>
    <row r="32" spans="1:1025" ht="15" customHeight="1">
      <c r="A32" s="28" t="s">
        <v>15</v>
      </c>
      <c r="B32" s="107"/>
      <c r="C32" s="55" t="s">
        <v>92</v>
      </c>
      <c r="D32" s="55" t="s">
        <v>93</v>
      </c>
      <c r="E32" s="56">
        <v>1</v>
      </c>
      <c r="F32" s="91" t="b">
        <v>0</v>
      </c>
      <c r="G32" s="57">
        <v>4</v>
      </c>
      <c r="H32" s="57">
        <v>3</v>
      </c>
      <c r="I32" s="56" t="s">
        <v>63</v>
      </c>
      <c r="J32" s="56" t="s">
        <v>78</v>
      </c>
      <c r="K32" s="57">
        <v>3.95</v>
      </c>
      <c r="L32" s="57">
        <v>2.95</v>
      </c>
      <c r="M32" s="33">
        <f t="shared" si="4"/>
        <v>11.652500000000002</v>
      </c>
      <c r="N32" s="34"/>
      <c r="O32" s="74"/>
      <c r="P32" s="73" t="s">
        <v>89</v>
      </c>
      <c r="Q32" s="16"/>
      <c r="R32" s="46"/>
      <c r="S32" s="46"/>
      <c r="T32" s="46"/>
      <c r="U32" s="46"/>
      <c r="V32" s="46"/>
      <c r="W32" s="46"/>
      <c r="X32" s="49"/>
      <c r="Y32" s="49"/>
      <c r="Z32" s="49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/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  <c r="AIB32" s="27"/>
      <c r="AIC32" s="27"/>
      <c r="AID32" s="27"/>
      <c r="AIE32" s="27"/>
      <c r="AIF32" s="27"/>
      <c r="AIG32" s="27"/>
      <c r="AIH32" s="27"/>
      <c r="AII32" s="27"/>
      <c r="AIJ32" s="27"/>
      <c r="AIK32" s="27"/>
      <c r="AIL32" s="27"/>
      <c r="AIM32" s="27"/>
      <c r="AIN32" s="27"/>
      <c r="AIO32" s="27"/>
      <c r="AIP32" s="27"/>
      <c r="AIQ32" s="27"/>
      <c r="AIR32" s="27"/>
      <c r="AIS32" s="27"/>
      <c r="AIT32" s="27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7"/>
      <c r="AJH32" s="27"/>
      <c r="AJI32" s="27"/>
      <c r="AJJ32" s="27"/>
      <c r="AJK32" s="27"/>
      <c r="AJL32" s="27"/>
      <c r="AJM32" s="27"/>
      <c r="AJN32" s="27"/>
      <c r="AJO32" s="27"/>
      <c r="AJP32" s="27"/>
      <c r="AJQ32" s="27"/>
      <c r="AJR32" s="27"/>
      <c r="AJS32" s="27"/>
      <c r="AJT32" s="27"/>
      <c r="AJU32" s="27"/>
      <c r="AJV32" s="27"/>
      <c r="AJW32" s="27"/>
      <c r="AJX32" s="27"/>
      <c r="AJY32" s="27"/>
      <c r="AJZ32" s="27"/>
      <c r="AKA32" s="27"/>
      <c r="AKB32" s="27"/>
      <c r="AKC32" s="27"/>
      <c r="AKD32" s="27"/>
      <c r="AKE32" s="27"/>
      <c r="AKF32" s="27"/>
      <c r="AKG32" s="27"/>
      <c r="AKH32" s="27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7"/>
      <c r="ALE32" s="27"/>
      <c r="ALF32" s="27"/>
      <c r="ALG32" s="27"/>
      <c r="ALH32" s="27"/>
      <c r="ALI32" s="27"/>
      <c r="ALJ32" s="27"/>
      <c r="ALK32" s="27"/>
      <c r="ALL32" s="27"/>
      <c r="ALM32" s="27"/>
      <c r="ALN32" s="27"/>
      <c r="ALO32" s="27"/>
      <c r="ALP32" s="27"/>
      <c r="ALQ32" s="27"/>
      <c r="ALR32" s="27"/>
      <c r="ALS32" s="27"/>
      <c r="ALT32" s="27"/>
      <c r="ALU32" s="27"/>
      <c r="ALV32" s="27"/>
      <c r="ALW32" s="27"/>
      <c r="ALX32" s="27"/>
      <c r="ALY32" s="27"/>
      <c r="ALZ32" s="27"/>
      <c r="AMA32" s="27"/>
      <c r="AMB32" s="27"/>
      <c r="AMC32" s="27"/>
      <c r="AMD32" s="27"/>
      <c r="AME32" s="27"/>
      <c r="AMF32" s="27"/>
      <c r="AMG32" s="27"/>
      <c r="AMH32" s="27"/>
      <c r="AMI32" s="27"/>
      <c r="AMJ32" s="27"/>
      <c r="AMK32" s="27"/>
    </row>
    <row r="33" spans="1:1025" ht="15" customHeight="1">
      <c r="A33" s="28" t="s">
        <v>15</v>
      </c>
      <c r="B33" s="107"/>
      <c r="C33" s="55" t="s">
        <v>94</v>
      </c>
      <c r="D33" s="55" t="s">
        <v>95</v>
      </c>
      <c r="E33" s="56">
        <v>1</v>
      </c>
      <c r="F33" s="91" t="b">
        <v>0</v>
      </c>
      <c r="G33" s="57">
        <v>4</v>
      </c>
      <c r="H33" s="57">
        <v>3</v>
      </c>
      <c r="I33" s="56" t="s">
        <v>63</v>
      </c>
      <c r="J33" s="56" t="s">
        <v>78</v>
      </c>
      <c r="K33" s="57">
        <v>3.95</v>
      </c>
      <c r="L33" s="57">
        <v>2.95</v>
      </c>
      <c r="M33" s="33">
        <f t="shared" si="4"/>
        <v>11.652500000000002</v>
      </c>
      <c r="N33" s="34"/>
      <c r="O33" s="74"/>
      <c r="P33" s="73" t="s">
        <v>89</v>
      </c>
      <c r="Q33" s="16"/>
      <c r="R33" s="46"/>
      <c r="S33" s="46"/>
      <c r="T33" s="46"/>
      <c r="U33" s="46"/>
      <c r="V33" s="46"/>
      <c r="W33" s="46"/>
      <c r="X33" s="49"/>
      <c r="Y33" s="49"/>
      <c r="Z33" s="49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/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27"/>
      <c r="AGH33" s="27"/>
      <c r="AGI33" s="27"/>
      <c r="AGJ33" s="27"/>
      <c r="AGK33" s="27"/>
      <c r="AGL33" s="27"/>
      <c r="AGM33" s="27"/>
      <c r="AGN33" s="27"/>
      <c r="AGO33" s="27"/>
      <c r="AGP33" s="27"/>
      <c r="AGQ33" s="27"/>
      <c r="AGR33" s="27"/>
      <c r="AGS33" s="27"/>
      <c r="AGT33" s="27"/>
      <c r="AGU33" s="27"/>
      <c r="AGV33" s="27"/>
      <c r="AGW33" s="27"/>
      <c r="AGX33" s="27"/>
      <c r="AGY33" s="27"/>
      <c r="AGZ33" s="27"/>
      <c r="AHA33" s="27"/>
      <c r="AHB33" s="27"/>
      <c r="AHC33" s="27"/>
      <c r="AHD33" s="27"/>
      <c r="AHE33" s="27"/>
      <c r="AHF33" s="27"/>
      <c r="AHG33" s="27"/>
      <c r="AHH33" s="27"/>
      <c r="AHI33" s="27"/>
      <c r="AHJ33" s="27"/>
      <c r="AHK33" s="27"/>
      <c r="AHL33" s="27"/>
      <c r="AHM33" s="27"/>
      <c r="AHN33" s="27"/>
      <c r="AHO33" s="27"/>
      <c r="AHP33" s="27"/>
      <c r="AHQ33" s="27"/>
      <c r="AHR33" s="27"/>
      <c r="AHS33" s="27"/>
      <c r="AHT33" s="27"/>
      <c r="AHU33" s="27"/>
      <c r="AHV33" s="27"/>
      <c r="AHW33" s="27"/>
      <c r="AHX33" s="27"/>
      <c r="AHY33" s="27"/>
      <c r="AHZ33" s="27"/>
      <c r="AIA33" s="27"/>
      <c r="AIB33" s="27"/>
      <c r="AIC33" s="27"/>
      <c r="AID33" s="27"/>
      <c r="AIE33" s="27"/>
      <c r="AIF33" s="27"/>
      <c r="AIG33" s="27"/>
      <c r="AIH33" s="27"/>
      <c r="AII33" s="27"/>
      <c r="AIJ33" s="27"/>
      <c r="AIK33" s="27"/>
      <c r="AIL33" s="27"/>
      <c r="AIM33" s="27"/>
      <c r="AIN33" s="27"/>
      <c r="AIO33" s="27"/>
      <c r="AIP33" s="27"/>
      <c r="AIQ33" s="27"/>
      <c r="AIR33" s="27"/>
      <c r="AIS33" s="27"/>
      <c r="AIT33" s="27"/>
      <c r="AIU33" s="27"/>
      <c r="AIV33" s="27"/>
      <c r="AIW33" s="27"/>
      <c r="AIX33" s="27"/>
      <c r="AIY33" s="27"/>
      <c r="AIZ33" s="27"/>
      <c r="AJA33" s="27"/>
      <c r="AJB33" s="27"/>
      <c r="AJC33" s="27"/>
      <c r="AJD33" s="27"/>
      <c r="AJE33" s="27"/>
      <c r="AJF33" s="27"/>
      <c r="AJG33" s="27"/>
      <c r="AJH33" s="27"/>
      <c r="AJI33" s="27"/>
      <c r="AJJ33" s="27"/>
      <c r="AJK33" s="27"/>
      <c r="AJL33" s="27"/>
      <c r="AJM33" s="27"/>
      <c r="AJN33" s="27"/>
      <c r="AJO33" s="27"/>
      <c r="AJP33" s="27"/>
      <c r="AJQ33" s="27"/>
      <c r="AJR33" s="27"/>
      <c r="AJS33" s="27"/>
      <c r="AJT33" s="27"/>
      <c r="AJU33" s="27"/>
      <c r="AJV33" s="27"/>
      <c r="AJW33" s="27"/>
      <c r="AJX33" s="27"/>
      <c r="AJY33" s="27"/>
      <c r="AJZ33" s="27"/>
      <c r="AKA33" s="27"/>
      <c r="AKB33" s="27"/>
      <c r="AKC33" s="27"/>
      <c r="AKD33" s="27"/>
      <c r="AKE33" s="27"/>
      <c r="AKF33" s="27"/>
      <c r="AKG33" s="27"/>
      <c r="AKH33" s="27"/>
      <c r="AKI33" s="27"/>
      <c r="AKJ33" s="27"/>
      <c r="AKK33" s="27"/>
      <c r="AKL33" s="27"/>
      <c r="AKM33" s="27"/>
      <c r="AKN33" s="27"/>
      <c r="AKO33" s="27"/>
      <c r="AKP33" s="27"/>
      <c r="AKQ33" s="27"/>
      <c r="AKR33" s="27"/>
      <c r="AKS33" s="27"/>
      <c r="AKT33" s="27"/>
      <c r="AKU33" s="27"/>
      <c r="AKV33" s="27"/>
      <c r="AKW33" s="27"/>
      <c r="AKX33" s="27"/>
      <c r="AKY33" s="27"/>
      <c r="AKZ33" s="27"/>
      <c r="ALA33" s="27"/>
      <c r="ALB33" s="27"/>
      <c r="ALC33" s="27"/>
      <c r="ALD33" s="27"/>
      <c r="ALE33" s="27"/>
      <c r="ALF33" s="27"/>
      <c r="ALG33" s="27"/>
      <c r="ALH33" s="27"/>
      <c r="ALI33" s="27"/>
      <c r="ALJ33" s="27"/>
      <c r="ALK33" s="27"/>
      <c r="ALL33" s="27"/>
      <c r="ALM33" s="27"/>
      <c r="ALN33" s="27"/>
      <c r="ALO33" s="27"/>
      <c r="ALP33" s="27"/>
      <c r="ALQ33" s="27"/>
      <c r="ALR33" s="27"/>
      <c r="ALS33" s="27"/>
      <c r="ALT33" s="27"/>
      <c r="ALU33" s="27"/>
      <c r="ALV33" s="27"/>
      <c r="ALW33" s="27"/>
      <c r="ALX33" s="27"/>
      <c r="ALY33" s="27"/>
      <c r="ALZ33" s="27"/>
      <c r="AMA33" s="27"/>
      <c r="AMB33" s="27"/>
      <c r="AMC33" s="27"/>
      <c r="AMD33" s="27"/>
      <c r="AME33" s="27"/>
      <c r="AMF33" s="27"/>
      <c r="AMG33" s="27"/>
      <c r="AMH33" s="27"/>
      <c r="AMI33" s="27"/>
      <c r="AMJ33" s="27"/>
      <c r="AMK33" s="27"/>
    </row>
    <row r="34" spans="1:1025" ht="15.75">
      <c r="A34" s="28" t="s">
        <v>15</v>
      </c>
      <c r="B34" s="116" t="s">
        <v>96</v>
      </c>
      <c r="C34" s="75" t="s">
        <v>97</v>
      </c>
      <c r="D34" s="75" t="s">
        <v>98</v>
      </c>
      <c r="E34" s="76">
        <v>4</v>
      </c>
      <c r="F34" s="91" t="b">
        <v>0</v>
      </c>
      <c r="G34" s="77">
        <v>0.77</v>
      </c>
      <c r="H34" s="77">
        <v>1.83</v>
      </c>
      <c r="I34" s="76" t="s">
        <v>63</v>
      </c>
      <c r="J34" s="76" t="s">
        <v>64</v>
      </c>
      <c r="K34" s="77">
        <f>G34+0.3</f>
        <v>1.07</v>
      </c>
      <c r="L34" s="77">
        <f>H34+0.3</f>
        <v>2.13</v>
      </c>
      <c r="M34" s="94"/>
      <c r="N34" s="34"/>
      <c r="O34" s="74"/>
      <c r="P34" s="73"/>
      <c r="Q34" s="16"/>
      <c r="R34" s="46"/>
      <c r="S34" s="46"/>
      <c r="T34" s="46"/>
      <c r="U34" s="46"/>
      <c r="V34" s="46"/>
      <c r="W34" s="46"/>
      <c r="X34" s="49"/>
      <c r="Y34" s="49"/>
      <c r="Z34" s="49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/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/>
      <c r="AHB34" s="27"/>
      <c r="AHC34" s="27"/>
      <c r="AHD34" s="27"/>
      <c r="AHE34" s="27"/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7"/>
      <c r="AHU34" s="27"/>
      <c r="AHV34" s="27"/>
      <c r="AHW34" s="27"/>
      <c r="AHX34" s="27"/>
      <c r="AHY34" s="27"/>
      <c r="AHZ34" s="27"/>
      <c r="AIA34" s="27"/>
      <c r="AIB34" s="27"/>
      <c r="AIC34" s="27"/>
      <c r="AID34" s="27"/>
      <c r="AIE34" s="27"/>
      <c r="AIF34" s="27"/>
      <c r="AIG34" s="27"/>
      <c r="AIH34" s="27"/>
      <c r="AII34" s="27"/>
      <c r="AIJ34" s="27"/>
      <c r="AIK34" s="27"/>
      <c r="AIL34" s="27"/>
      <c r="AIM34" s="27"/>
      <c r="AIN34" s="27"/>
      <c r="AIO34" s="27"/>
      <c r="AIP34" s="27"/>
      <c r="AIQ34" s="27"/>
      <c r="AIR34" s="27"/>
      <c r="AIS34" s="27"/>
      <c r="AIT34" s="27"/>
      <c r="AIU34" s="27"/>
      <c r="AIV34" s="27"/>
      <c r="AIW34" s="27"/>
      <c r="AIX34" s="27"/>
      <c r="AIY34" s="27"/>
      <c r="AIZ34" s="27"/>
      <c r="AJA34" s="27"/>
      <c r="AJB34" s="27"/>
      <c r="AJC34" s="27"/>
      <c r="AJD34" s="27"/>
      <c r="AJE34" s="27"/>
      <c r="AJF34" s="27"/>
      <c r="AJG34" s="27"/>
      <c r="AJH34" s="27"/>
      <c r="AJI34" s="27"/>
      <c r="AJJ34" s="27"/>
      <c r="AJK34" s="27"/>
      <c r="AJL34" s="27"/>
      <c r="AJM34" s="27"/>
      <c r="AJN34" s="27"/>
      <c r="AJO34" s="27"/>
      <c r="AJP34" s="27"/>
      <c r="AJQ34" s="27"/>
      <c r="AJR34" s="27"/>
      <c r="AJS34" s="27"/>
      <c r="AJT34" s="27"/>
      <c r="AJU34" s="27"/>
      <c r="AJV34" s="27"/>
      <c r="AJW34" s="27"/>
      <c r="AJX34" s="27"/>
      <c r="AJY34" s="27"/>
      <c r="AJZ34" s="27"/>
      <c r="AKA34" s="27"/>
      <c r="AKB34" s="27"/>
      <c r="AKC34" s="27"/>
      <c r="AKD34" s="27"/>
      <c r="AKE34" s="27"/>
      <c r="AKF34" s="27"/>
      <c r="AKG34" s="27"/>
      <c r="AKH34" s="27"/>
      <c r="AKI34" s="27"/>
      <c r="AKJ34" s="27"/>
      <c r="AKK34" s="27"/>
      <c r="AKL34" s="27"/>
      <c r="AKM34" s="27"/>
      <c r="AKN34" s="27"/>
      <c r="AKO34" s="27"/>
      <c r="AKP34" s="27"/>
      <c r="AKQ34" s="27"/>
      <c r="AKR34" s="27"/>
      <c r="AKS34" s="27"/>
      <c r="AKT34" s="27"/>
      <c r="AKU34" s="27"/>
      <c r="AKV34" s="27"/>
      <c r="AKW34" s="27"/>
      <c r="AKX34" s="27"/>
      <c r="AKY34" s="27"/>
      <c r="AKZ34" s="27"/>
      <c r="ALA34" s="27"/>
      <c r="ALB34" s="27"/>
      <c r="ALC34" s="27"/>
      <c r="ALD34" s="27"/>
      <c r="ALE34" s="27"/>
      <c r="ALF34" s="27"/>
      <c r="ALG34" s="27"/>
      <c r="ALH34" s="27"/>
      <c r="ALI34" s="27"/>
      <c r="ALJ34" s="27"/>
      <c r="ALK34" s="27"/>
      <c r="ALL34" s="27"/>
      <c r="ALM34" s="27"/>
      <c r="ALN34" s="27"/>
      <c r="ALO34" s="27"/>
      <c r="ALP34" s="27"/>
      <c r="ALQ34" s="27"/>
      <c r="ALR34" s="27"/>
      <c r="ALS34" s="27"/>
      <c r="ALT34" s="27"/>
      <c r="ALU34" s="27"/>
      <c r="ALV34" s="27"/>
      <c r="ALW34" s="27"/>
      <c r="ALX34" s="27"/>
      <c r="ALY34" s="27"/>
      <c r="ALZ34" s="27"/>
      <c r="AMA34" s="27"/>
      <c r="AMB34" s="27"/>
      <c r="AMC34" s="27"/>
      <c r="AMD34" s="27"/>
      <c r="AME34" s="27"/>
      <c r="AMF34" s="27"/>
      <c r="AMG34" s="27"/>
      <c r="AMH34" s="27"/>
      <c r="AMI34" s="27"/>
      <c r="AMJ34" s="27"/>
      <c r="AMK34" s="27"/>
    </row>
    <row r="35" spans="1:1025" ht="15" customHeight="1">
      <c r="A35" s="28" t="s">
        <v>15</v>
      </c>
      <c r="B35" s="116"/>
      <c r="C35" s="75" t="s">
        <v>99</v>
      </c>
      <c r="D35" s="75" t="s">
        <v>98</v>
      </c>
      <c r="E35" s="76">
        <v>2</v>
      </c>
      <c r="F35" s="91" t="b">
        <v>0</v>
      </c>
      <c r="G35" s="77">
        <v>1.37</v>
      </c>
      <c r="H35" s="77">
        <v>3.4</v>
      </c>
      <c r="I35" s="76" t="s">
        <v>63</v>
      </c>
      <c r="J35" s="76" t="s">
        <v>64</v>
      </c>
      <c r="K35" s="77">
        <f>G35+0.3</f>
        <v>1.6700000000000002</v>
      </c>
      <c r="L35" s="77">
        <f>H35+0.3</f>
        <v>3.6999999999999997</v>
      </c>
      <c r="M35" s="33">
        <f t="shared" si="4"/>
        <v>12.358000000000001</v>
      </c>
      <c r="N35" s="34"/>
      <c r="O35" s="74"/>
      <c r="P35" s="73" t="s">
        <v>89</v>
      </c>
      <c r="Q35" s="16"/>
      <c r="R35" s="46"/>
      <c r="S35" s="50"/>
      <c r="T35" s="48"/>
      <c r="U35" s="48"/>
      <c r="V35" s="113"/>
      <c r="W35" s="46"/>
      <c r="X35" s="49"/>
      <c r="Y35" s="49"/>
      <c r="Z35" s="49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/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/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  <c r="AGC35" s="27"/>
      <c r="AGD35" s="27"/>
      <c r="AGE35" s="27"/>
      <c r="AGF35" s="27"/>
      <c r="AGG35" s="27"/>
      <c r="AGH35" s="27"/>
      <c r="AGI35" s="27"/>
      <c r="AGJ35" s="27"/>
      <c r="AGK35" s="27"/>
      <c r="AGL35" s="27"/>
      <c r="AGM35" s="27"/>
      <c r="AGN35" s="27"/>
      <c r="AGO35" s="27"/>
      <c r="AGP35" s="27"/>
      <c r="AGQ35" s="27"/>
      <c r="AGR35" s="27"/>
      <c r="AGS35" s="27"/>
      <c r="AGT35" s="27"/>
      <c r="AGU35" s="27"/>
      <c r="AGV35" s="27"/>
      <c r="AGW35" s="27"/>
      <c r="AGX35" s="27"/>
      <c r="AGY35" s="27"/>
      <c r="AGZ35" s="27"/>
      <c r="AHA35" s="27"/>
      <c r="AHB35" s="27"/>
      <c r="AHC35" s="27"/>
      <c r="AHD35" s="27"/>
      <c r="AHE35" s="27"/>
      <c r="AHF35" s="27"/>
      <c r="AHG35" s="27"/>
      <c r="AHH35" s="27"/>
      <c r="AHI35" s="27"/>
      <c r="AHJ35" s="27"/>
      <c r="AHK35" s="27"/>
      <c r="AHL35" s="27"/>
      <c r="AHM35" s="27"/>
      <c r="AHN35" s="27"/>
      <c r="AHO35" s="27"/>
      <c r="AHP35" s="27"/>
      <c r="AHQ35" s="27"/>
      <c r="AHR35" s="27"/>
      <c r="AHS35" s="27"/>
      <c r="AHT35" s="27"/>
      <c r="AHU35" s="27"/>
      <c r="AHV35" s="27"/>
      <c r="AHW35" s="27"/>
      <c r="AHX35" s="27"/>
      <c r="AHY35" s="27"/>
      <c r="AHZ35" s="27"/>
      <c r="AIA35" s="27"/>
      <c r="AIB35" s="27"/>
      <c r="AIC35" s="27"/>
      <c r="AID35" s="27"/>
      <c r="AIE35" s="27"/>
      <c r="AIF35" s="27"/>
      <c r="AIG35" s="27"/>
      <c r="AIH35" s="27"/>
      <c r="AII35" s="27"/>
      <c r="AIJ35" s="27"/>
      <c r="AIK35" s="27"/>
      <c r="AIL35" s="27"/>
      <c r="AIM35" s="27"/>
      <c r="AIN35" s="27"/>
      <c r="AIO35" s="27"/>
      <c r="AIP35" s="27"/>
      <c r="AIQ35" s="27"/>
      <c r="AIR35" s="27"/>
      <c r="AIS35" s="27"/>
      <c r="AIT35" s="27"/>
      <c r="AIU35" s="27"/>
      <c r="AIV35" s="27"/>
      <c r="AIW35" s="27"/>
      <c r="AIX35" s="27"/>
      <c r="AIY35" s="27"/>
      <c r="AIZ35" s="27"/>
      <c r="AJA35" s="27"/>
      <c r="AJB35" s="27"/>
      <c r="AJC35" s="27"/>
      <c r="AJD35" s="27"/>
      <c r="AJE35" s="27"/>
      <c r="AJF35" s="27"/>
      <c r="AJG35" s="27"/>
      <c r="AJH35" s="27"/>
      <c r="AJI35" s="27"/>
      <c r="AJJ35" s="27"/>
      <c r="AJK35" s="27"/>
      <c r="AJL35" s="27"/>
      <c r="AJM35" s="27"/>
      <c r="AJN35" s="27"/>
      <c r="AJO35" s="27"/>
      <c r="AJP35" s="27"/>
      <c r="AJQ35" s="27"/>
      <c r="AJR35" s="27"/>
      <c r="AJS35" s="27"/>
      <c r="AJT35" s="27"/>
      <c r="AJU35" s="27"/>
      <c r="AJV35" s="27"/>
      <c r="AJW35" s="27"/>
      <c r="AJX35" s="27"/>
      <c r="AJY35" s="27"/>
      <c r="AJZ35" s="27"/>
      <c r="AKA35" s="27"/>
      <c r="AKB35" s="27"/>
      <c r="AKC35" s="27"/>
      <c r="AKD35" s="27"/>
      <c r="AKE35" s="27"/>
      <c r="AKF35" s="27"/>
      <c r="AKG35" s="27"/>
      <c r="AKH35" s="27"/>
      <c r="AKI35" s="27"/>
      <c r="AKJ35" s="27"/>
      <c r="AKK35" s="27"/>
      <c r="AKL35" s="27"/>
      <c r="AKM35" s="27"/>
      <c r="AKN35" s="27"/>
      <c r="AKO35" s="27"/>
      <c r="AKP35" s="27"/>
      <c r="AKQ35" s="27"/>
      <c r="AKR35" s="27"/>
      <c r="AKS35" s="27"/>
      <c r="AKT35" s="27"/>
      <c r="AKU35" s="27"/>
      <c r="AKV35" s="27"/>
      <c r="AKW35" s="27"/>
      <c r="AKX35" s="27"/>
      <c r="AKY35" s="27"/>
      <c r="AKZ35" s="27"/>
      <c r="ALA35" s="27"/>
      <c r="ALB35" s="27"/>
      <c r="ALC35" s="27"/>
      <c r="ALD35" s="27"/>
      <c r="ALE35" s="27"/>
      <c r="ALF35" s="27"/>
      <c r="ALG35" s="27"/>
      <c r="ALH35" s="27"/>
      <c r="ALI35" s="27"/>
      <c r="ALJ35" s="27"/>
      <c r="ALK35" s="27"/>
      <c r="ALL35" s="27"/>
      <c r="ALM35" s="27"/>
      <c r="ALN35" s="27"/>
      <c r="ALO35" s="27"/>
      <c r="ALP35" s="27"/>
      <c r="ALQ35" s="27"/>
      <c r="ALR35" s="27"/>
      <c r="ALS35" s="27"/>
      <c r="ALT35" s="27"/>
      <c r="ALU35" s="27"/>
      <c r="ALV35" s="27"/>
      <c r="ALW35" s="27"/>
      <c r="ALX35" s="27"/>
      <c r="ALY35" s="27"/>
      <c r="ALZ35" s="27"/>
      <c r="AMA35" s="27"/>
      <c r="AMB35" s="27"/>
      <c r="AMC35" s="27"/>
      <c r="AMD35" s="27"/>
      <c r="AME35" s="27"/>
      <c r="AMF35" s="27"/>
      <c r="AMG35" s="27"/>
      <c r="AMH35" s="27"/>
      <c r="AMI35" s="27"/>
      <c r="AMJ35" s="27"/>
      <c r="AMK35" s="27"/>
    </row>
    <row r="36" spans="1:1025" ht="15" customHeight="1">
      <c r="A36" s="28" t="s">
        <v>15</v>
      </c>
      <c r="B36" s="116"/>
      <c r="C36" s="45" t="s">
        <v>100</v>
      </c>
      <c r="D36" s="45" t="s">
        <v>101</v>
      </c>
      <c r="E36" s="39">
        <v>2</v>
      </c>
      <c r="F36" s="91" t="b">
        <v>0</v>
      </c>
      <c r="G36" s="77">
        <v>1.37</v>
      </c>
      <c r="H36" s="77">
        <v>3.4</v>
      </c>
      <c r="I36" s="76" t="s">
        <v>63</v>
      </c>
      <c r="J36" s="76" t="s">
        <v>64</v>
      </c>
      <c r="K36" s="77">
        <f t="shared" ref="K36:L38" si="5">G36+0.3</f>
        <v>1.6700000000000002</v>
      </c>
      <c r="L36" s="77">
        <f t="shared" si="5"/>
        <v>3.6999999999999997</v>
      </c>
      <c r="M36" s="33">
        <f t="shared" si="4"/>
        <v>12.358000000000001</v>
      </c>
      <c r="N36" s="34"/>
      <c r="O36" s="74"/>
      <c r="P36" s="73" t="s">
        <v>89</v>
      </c>
      <c r="Q36" s="16"/>
      <c r="R36" s="46"/>
      <c r="S36" s="50"/>
      <c r="T36" s="48"/>
      <c r="U36" s="48"/>
      <c r="V36" s="113"/>
      <c r="W36" s="46"/>
      <c r="X36" s="49"/>
      <c r="Y36" s="49"/>
      <c r="Z36" s="49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  <c r="AGC36" s="27"/>
      <c r="AGD36" s="27"/>
      <c r="AGE36" s="27"/>
      <c r="AGF36" s="27"/>
      <c r="AGG36" s="27"/>
      <c r="AGH36" s="27"/>
      <c r="AGI36" s="27"/>
      <c r="AGJ36" s="27"/>
      <c r="AGK36" s="27"/>
      <c r="AGL36" s="27"/>
      <c r="AGM36" s="27"/>
      <c r="AGN36" s="27"/>
      <c r="AGO36" s="27"/>
      <c r="AGP36" s="27"/>
      <c r="AGQ36" s="27"/>
      <c r="AGR36" s="27"/>
      <c r="AGS36" s="27"/>
      <c r="AGT36" s="27"/>
      <c r="AGU36" s="27"/>
      <c r="AGV36" s="27"/>
      <c r="AGW36" s="27"/>
      <c r="AGX36" s="27"/>
      <c r="AGY36" s="27"/>
      <c r="AGZ36" s="27"/>
      <c r="AHA36" s="27"/>
      <c r="AHB36" s="27"/>
      <c r="AHC36" s="27"/>
      <c r="AHD36" s="27"/>
      <c r="AHE36" s="27"/>
      <c r="AHF36" s="27"/>
      <c r="AHG36" s="27"/>
      <c r="AHH36" s="27"/>
      <c r="AHI36" s="27"/>
      <c r="AHJ36" s="27"/>
      <c r="AHK36" s="27"/>
      <c r="AHL36" s="27"/>
      <c r="AHM36" s="27"/>
      <c r="AHN36" s="27"/>
      <c r="AHO36" s="27"/>
      <c r="AHP36" s="27"/>
      <c r="AHQ36" s="27"/>
      <c r="AHR36" s="27"/>
      <c r="AHS36" s="27"/>
      <c r="AHT36" s="27"/>
      <c r="AHU36" s="27"/>
      <c r="AHV36" s="27"/>
      <c r="AHW36" s="27"/>
      <c r="AHX36" s="27"/>
      <c r="AHY36" s="27"/>
      <c r="AHZ36" s="27"/>
      <c r="AIA36" s="27"/>
      <c r="AIB36" s="27"/>
      <c r="AIC36" s="27"/>
      <c r="AID36" s="27"/>
      <c r="AIE36" s="27"/>
      <c r="AIF36" s="27"/>
      <c r="AIG36" s="27"/>
      <c r="AIH36" s="27"/>
      <c r="AII36" s="27"/>
      <c r="AIJ36" s="27"/>
      <c r="AIK36" s="27"/>
      <c r="AIL36" s="27"/>
      <c r="AIM36" s="27"/>
      <c r="AIN36" s="27"/>
      <c r="AIO36" s="27"/>
      <c r="AIP36" s="27"/>
      <c r="AIQ36" s="27"/>
      <c r="AIR36" s="27"/>
      <c r="AIS36" s="27"/>
      <c r="AIT36" s="27"/>
      <c r="AIU36" s="27"/>
      <c r="AIV36" s="27"/>
      <c r="AIW36" s="27"/>
      <c r="AIX36" s="27"/>
      <c r="AIY36" s="27"/>
      <c r="AIZ36" s="27"/>
      <c r="AJA36" s="27"/>
      <c r="AJB36" s="27"/>
      <c r="AJC36" s="27"/>
      <c r="AJD36" s="27"/>
      <c r="AJE36" s="27"/>
      <c r="AJF36" s="27"/>
      <c r="AJG36" s="27"/>
      <c r="AJH36" s="27"/>
      <c r="AJI36" s="27"/>
      <c r="AJJ36" s="27"/>
      <c r="AJK36" s="27"/>
      <c r="AJL36" s="27"/>
      <c r="AJM36" s="27"/>
      <c r="AJN36" s="27"/>
      <c r="AJO36" s="27"/>
      <c r="AJP36" s="27"/>
      <c r="AJQ36" s="27"/>
      <c r="AJR36" s="27"/>
      <c r="AJS36" s="27"/>
      <c r="AJT36" s="27"/>
      <c r="AJU36" s="27"/>
      <c r="AJV36" s="27"/>
      <c r="AJW36" s="27"/>
      <c r="AJX36" s="27"/>
      <c r="AJY36" s="27"/>
      <c r="AJZ36" s="27"/>
      <c r="AKA36" s="27"/>
      <c r="AKB36" s="27"/>
      <c r="AKC36" s="27"/>
      <c r="AKD36" s="27"/>
      <c r="AKE36" s="27"/>
      <c r="AKF36" s="27"/>
      <c r="AKG36" s="27"/>
      <c r="AKH36" s="27"/>
      <c r="AKI36" s="27"/>
      <c r="AKJ36" s="27"/>
      <c r="AKK36" s="27"/>
      <c r="AKL36" s="27"/>
      <c r="AKM36" s="27"/>
      <c r="AKN36" s="27"/>
      <c r="AKO36" s="27"/>
      <c r="AKP36" s="27"/>
      <c r="AKQ36" s="27"/>
      <c r="AKR36" s="27"/>
      <c r="AKS36" s="27"/>
      <c r="AKT36" s="27"/>
      <c r="AKU36" s="27"/>
      <c r="AKV36" s="27"/>
      <c r="AKW36" s="27"/>
      <c r="AKX36" s="27"/>
      <c r="AKY36" s="27"/>
      <c r="AKZ36" s="27"/>
      <c r="ALA36" s="27"/>
      <c r="ALB36" s="27"/>
      <c r="ALC36" s="27"/>
      <c r="ALD36" s="27"/>
      <c r="ALE36" s="27"/>
      <c r="ALF36" s="27"/>
      <c r="ALG36" s="27"/>
      <c r="ALH36" s="27"/>
      <c r="ALI36" s="27"/>
      <c r="ALJ36" s="27"/>
      <c r="ALK36" s="27"/>
      <c r="ALL36" s="27"/>
      <c r="ALM36" s="27"/>
      <c r="ALN36" s="27"/>
      <c r="ALO36" s="27"/>
      <c r="ALP36" s="27"/>
      <c r="ALQ36" s="27"/>
      <c r="ALR36" s="27"/>
      <c r="ALS36" s="27"/>
      <c r="ALT36" s="27"/>
      <c r="ALU36" s="27"/>
      <c r="ALV36" s="27"/>
      <c r="ALW36" s="27"/>
      <c r="ALX36" s="27"/>
      <c r="ALY36" s="27"/>
      <c r="ALZ36" s="27"/>
      <c r="AMA36" s="27"/>
      <c r="AMB36" s="27"/>
      <c r="AMC36" s="27"/>
      <c r="AMD36" s="27"/>
      <c r="AME36" s="27"/>
      <c r="AMF36" s="27"/>
      <c r="AMG36" s="27"/>
      <c r="AMH36" s="27"/>
      <c r="AMI36" s="27"/>
      <c r="AMJ36" s="27"/>
      <c r="AMK36" s="27"/>
    </row>
    <row r="37" spans="1:1025" ht="15" customHeight="1">
      <c r="A37" s="28" t="s">
        <v>15</v>
      </c>
      <c r="B37" s="116"/>
      <c r="C37" s="45" t="s">
        <v>102</v>
      </c>
      <c r="D37" s="45" t="s">
        <v>103</v>
      </c>
      <c r="E37" s="39">
        <v>2</v>
      </c>
      <c r="F37" s="91" t="b">
        <v>0</v>
      </c>
      <c r="G37" s="77">
        <v>1.37</v>
      </c>
      <c r="H37" s="77">
        <v>3.4</v>
      </c>
      <c r="I37" s="76" t="s">
        <v>63</v>
      </c>
      <c r="J37" s="76" t="s">
        <v>64</v>
      </c>
      <c r="K37" s="77">
        <f t="shared" si="5"/>
        <v>1.6700000000000002</v>
      </c>
      <c r="L37" s="77">
        <f t="shared" si="5"/>
        <v>3.6999999999999997</v>
      </c>
      <c r="M37" s="33">
        <f t="shared" si="4"/>
        <v>12.358000000000001</v>
      </c>
      <c r="N37" s="34"/>
      <c r="O37" s="74"/>
      <c r="P37" s="73" t="s">
        <v>89</v>
      </c>
      <c r="Q37" s="16"/>
      <c r="R37" s="46"/>
      <c r="S37" s="50"/>
      <c r="T37" s="48"/>
      <c r="U37" s="48"/>
      <c r="V37" s="113"/>
      <c r="W37" s="46"/>
      <c r="X37" s="49"/>
      <c r="Y37" s="49"/>
      <c r="Z37" s="49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  <c r="AGC37" s="27"/>
      <c r="AGD37" s="27"/>
      <c r="AGE37" s="27"/>
      <c r="AGF37" s="27"/>
      <c r="AGG37" s="27"/>
      <c r="AGH37" s="27"/>
      <c r="AGI37" s="27"/>
      <c r="AGJ37" s="27"/>
      <c r="AGK37" s="27"/>
      <c r="AGL37" s="27"/>
      <c r="AGM37" s="27"/>
      <c r="AGN37" s="27"/>
      <c r="AGO37" s="27"/>
      <c r="AGP37" s="27"/>
      <c r="AGQ37" s="27"/>
      <c r="AGR37" s="27"/>
      <c r="AGS37" s="27"/>
      <c r="AGT37" s="27"/>
      <c r="AGU37" s="27"/>
      <c r="AGV37" s="27"/>
      <c r="AGW37" s="27"/>
      <c r="AGX37" s="27"/>
      <c r="AGY37" s="27"/>
      <c r="AGZ37" s="27"/>
      <c r="AHA37" s="27"/>
      <c r="AHB37" s="27"/>
      <c r="AHC37" s="27"/>
      <c r="AHD37" s="27"/>
      <c r="AHE37" s="27"/>
      <c r="AHF37" s="27"/>
      <c r="AHG37" s="27"/>
      <c r="AHH37" s="27"/>
      <c r="AHI37" s="27"/>
      <c r="AHJ37" s="27"/>
      <c r="AHK37" s="27"/>
      <c r="AHL37" s="27"/>
      <c r="AHM37" s="27"/>
      <c r="AHN37" s="27"/>
      <c r="AHO37" s="27"/>
      <c r="AHP37" s="27"/>
      <c r="AHQ37" s="27"/>
      <c r="AHR37" s="27"/>
      <c r="AHS37" s="27"/>
      <c r="AHT37" s="27"/>
      <c r="AHU37" s="27"/>
      <c r="AHV37" s="27"/>
      <c r="AHW37" s="27"/>
      <c r="AHX37" s="27"/>
      <c r="AHY37" s="27"/>
      <c r="AHZ37" s="27"/>
      <c r="AIA37" s="27"/>
      <c r="AIB37" s="27"/>
      <c r="AIC37" s="27"/>
      <c r="AID37" s="27"/>
      <c r="AIE37" s="27"/>
      <c r="AIF37" s="27"/>
      <c r="AIG37" s="27"/>
      <c r="AIH37" s="27"/>
      <c r="AII37" s="27"/>
      <c r="AIJ37" s="27"/>
      <c r="AIK37" s="27"/>
      <c r="AIL37" s="27"/>
      <c r="AIM37" s="27"/>
      <c r="AIN37" s="27"/>
      <c r="AIO37" s="27"/>
      <c r="AIP37" s="27"/>
      <c r="AIQ37" s="27"/>
      <c r="AIR37" s="27"/>
      <c r="AIS37" s="27"/>
      <c r="AIT37" s="27"/>
      <c r="AIU37" s="27"/>
      <c r="AIV37" s="27"/>
      <c r="AIW37" s="27"/>
      <c r="AIX37" s="27"/>
      <c r="AIY37" s="27"/>
      <c r="AIZ37" s="27"/>
      <c r="AJA37" s="27"/>
      <c r="AJB37" s="27"/>
      <c r="AJC37" s="27"/>
      <c r="AJD37" s="27"/>
      <c r="AJE37" s="27"/>
      <c r="AJF37" s="27"/>
      <c r="AJG37" s="27"/>
      <c r="AJH37" s="27"/>
      <c r="AJI37" s="27"/>
      <c r="AJJ37" s="27"/>
      <c r="AJK37" s="27"/>
      <c r="AJL37" s="27"/>
      <c r="AJM37" s="27"/>
      <c r="AJN37" s="27"/>
      <c r="AJO37" s="27"/>
      <c r="AJP37" s="27"/>
      <c r="AJQ37" s="27"/>
      <c r="AJR37" s="27"/>
      <c r="AJS37" s="27"/>
      <c r="AJT37" s="27"/>
      <c r="AJU37" s="27"/>
      <c r="AJV37" s="27"/>
      <c r="AJW37" s="27"/>
      <c r="AJX37" s="27"/>
      <c r="AJY37" s="27"/>
      <c r="AJZ37" s="27"/>
      <c r="AKA37" s="27"/>
      <c r="AKB37" s="27"/>
      <c r="AKC37" s="27"/>
      <c r="AKD37" s="27"/>
      <c r="AKE37" s="27"/>
      <c r="AKF37" s="27"/>
      <c r="AKG37" s="27"/>
      <c r="AKH37" s="27"/>
      <c r="AKI37" s="27"/>
      <c r="AKJ37" s="27"/>
      <c r="AKK37" s="27"/>
      <c r="AKL37" s="27"/>
      <c r="AKM37" s="27"/>
      <c r="AKN37" s="27"/>
      <c r="AKO37" s="27"/>
      <c r="AKP37" s="27"/>
      <c r="AKQ37" s="27"/>
      <c r="AKR37" s="27"/>
      <c r="AKS37" s="27"/>
      <c r="AKT37" s="27"/>
      <c r="AKU37" s="27"/>
      <c r="AKV37" s="27"/>
      <c r="AKW37" s="27"/>
      <c r="AKX37" s="27"/>
      <c r="AKY37" s="27"/>
      <c r="AKZ37" s="27"/>
      <c r="ALA37" s="27"/>
      <c r="ALB37" s="27"/>
      <c r="ALC37" s="27"/>
      <c r="ALD37" s="27"/>
      <c r="ALE37" s="27"/>
      <c r="ALF37" s="27"/>
      <c r="ALG37" s="27"/>
      <c r="ALH37" s="27"/>
      <c r="ALI37" s="27"/>
      <c r="ALJ37" s="27"/>
      <c r="ALK37" s="27"/>
      <c r="ALL37" s="27"/>
      <c r="ALM37" s="27"/>
      <c r="ALN37" s="27"/>
      <c r="ALO37" s="27"/>
      <c r="ALP37" s="27"/>
      <c r="ALQ37" s="27"/>
      <c r="ALR37" s="27"/>
      <c r="ALS37" s="27"/>
      <c r="ALT37" s="27"/>
      <c r="ALU37" s="27"/>
      <c r="ALV37" s="27"/>
      <c r="ALW37" s="27"/>
      <c r="ALX37" s="27"/>
      <c r="ALY37" s="27"/>
      <c r="ALZ37" s="27"/>
      <c r="AMA37" s="27"/>
      <c r="AMB37" s="27"/>
      <c r="AMC37" s="27"/>
      <c r="AMD37" s="27"/>
      <c r="AME37" s="27"/>
      <c r="AMF37" s="27"/>
      <c r="AMG37" s="27"/>
      <c r="AMH37" s="27"/>
      <c r="AMI37" s="27"/>
      <c r="AMJ37" s="27"/>
      <c r="AMK37" s="27"/>
    </row>
    <row r="38" spans="1:1025" ht="15" customHeight="1">
      <c r="A38" s="28" t="s">
        <v>15</v>
      </c>
      <c r="B38" s="116"/>
      <c r="C38" s="45" t="s">
        <v>104</v>
      </c>
      <c r="D38" s="45" t="s">
        <v>105</v>
      </c>
      <c r="E38" s="39">
        <v>2</v>
      </c>
      <c r="F38" s="91" t="b">
        <v>0</v>
      </c>
      <c r="G38" s="77">
        <v>1.37</v>
      </c>
      <c r="H38" s="77">
        <v>3.4</v>
      </c>
      <c r="I38" s="76" t="s">
        <v>63</v>
      </c>
      <c r="J38" s="76" t="s">
        <v>64</v>
      </c>
      <c r="K38" s="77">
        <f t="shared" si="5"/>
        <v>1.6700000000000002</v>
      </c>
      <c r="L38" s="77">
        <f t="shared" si="5"/>
        <v>3.6999999999999997</v>
      </c>
      <c r="M38" s="33">
        <f t="shared" si="4"/>
        <v>12.358000000000001</v>
      </c>
      <c r="N38" s="34"/>
      <c r="O38" s="74"/>
      <c r="P38" s="73" t="s">
        <v>89</v>
      </c>
      <c r="Q38" s="16"/>
      <c r="R38" s="46"/>
      <c r="S38" s="50"/>
      <c r="T38" s="48"/>
      <c r="U38" s="48"/>
      <c r="V38" s="113"/>
      <c r="W38" s="46"/>
      <c r="X38" s="49"/>
      <c r="Y38" s="49"/>
      <c r="Z38" s="49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  <c r="UU38" s="27"/>
      <c r="UV38" s="27"/>
      <c r="UW38" s="27"/>
      <c r="UX38" s="27"/>
      <c r="UY38" s="27"/>
      <c r="UZ38" s="27"/>
      <c r="VA38" s="27"/>
      <c r="VB38" s="27"/>
      <c r="VC38" s="27"/>
      <c r="VD38" s="27"/>
      <c r="VE38" s="27"/>
      <c r="VF38" s="27"/>
      <c r="VG38" s="27"/>
      <c r="VH38" s="27"/>
      <c r="VI38" s="27"/>
      <c r="VJ38" s="27"/>
      <c r="VK38" s="27"/>
      <c r="VL38" s="27"/>
      <c r="VM38" s="27"/>
      <c r="VN38" s="27"/>
      <c r="VO38" s="27"/>
      <c r="VP38" s="27"/>
      <c r="VQ38" s="27"/>
      <c r="VR38" s="27"/>
      <c r="VS38" s="27"/>
      <c r="VT38" s="27"/>
      <c r="VU38" s="27"/>
      <c r="VV38" s="27"/>
      <c r="VW38" s="27"/>
      <c r="VX38" s="27"/>
      <c r="VY38" s="27"/>
      <c r="VZ38" s="27"/>
      <c r="WA38" s="27"/>
      <c r="WB38" s="27"/>
      <c r="WC38" s="27"/>
      <c r="WD38" s="27"/>
      <c r="WE38" s="27"/>
      <c r="WF38" s="27"/>
      <c r="WG38" s="27"/>
      <c r="WH38" s="27"/>
      <c r="WI38" s="27"/>
      <c r="WJ38" s="27"/>
      <c r="WK38" s="27"/>
      <c r="WL38" s="27"/>
      <c r="WM38" s="27"/>
      <c r="WN38" s="27"/>
      <c r="WO38" s="27"/>
      <c r="WP38" s="27"/>
      <c r="WQ38" s="27"/>
      <c r="WR38" s="27"/>
      <c r="WS38" s="27"/>
      <c r="WT38" s="27"/>
      <c r="WU38" s="27"/>
      <c r="WV38" s="27"/>
      <c r="WW38" s="27"/>
      <c r="WX38" s="27"/>
      <c r="WY38" s="27"/>
      <c r="WZ38" s="27"/>
      <c r="XA38" s="27"/>
      <c r="XB38" s="27"/>
      <c r="XC38" s="27"/>
      <c r="XD38" s="27"/>
      <c r="XE38" s="27"/>
      <c r="XF38" s="27"/>
      <c r="XG38" s="27"/>
      <c r="XH38" s="27"/>
      <c r="XI38" s="27"/>
      <c r="XJ38" s="27"/>
      <c r="XK38" s="27"/>
      <c r="XL38" s="27"/>
      <c r="XM38" s="27"/>
      <c r="XN38" s="27"/>
      <c r="XO38" s="27"/>
      <c r="XP38" s="27"/>
      <c r="XQ38" s="27"/>
      <c r="XR38" s="27"/>
      <c r="XS38" s="27"/>
      <c r="XT38" s="27"/>
      <c r="XU38" s="27"/>
      <c r="XV38" s="27"/>
      <c r="XW38" s="27"/>
      <c r="XX38" s="27"/>
      <c r="XY38" s="27"/>
      <c r="XZ38" s="27"/>
      <c r="YA38" s="27"/>
      <c r="YB38" s="27"/>
      <c r="YC38" s="27"/>
      <c r="YD38" s="27"/>
      <c r="YE38" s="27"/>
      <c r="YF38" s="27"/>
      <c r="YG38" s="27"/>
      <c r="YH38" s="27"/>
      <c r="YI38" s="27"/>
      <c r="YJ38" s="27"/>
      <c r="YK38" s="27"/>
      <c r="YL38" s="27"/>
      <c r="YM38" s="27"/>
      <c r="YN38" s="27"/>
      <c r="YO38" s="27"/>
      <c r="YP38" s="27"/>
      <c r="YQ38" s="27"/>
      <c r="YR38" s="27"/>
      <c r="YS38" s="27"/>
      <c r="YT38" s="27"/>
      <c r="YU38" s="27"/>
      <c r="YV38" s="27"/>
      <c r="YW38" s="27"/>
      <c r="YX38" s="27"/>
      <c r="YY38" s="27"/>
      <c r="YZ38" s="27"/>
      <c r="ZA38" s="27"/>
      <c r="ZB38" s="27"/>
      <c r="ZC38" s="27"/>
      <c r="ZD38" s="27"/>
      <c r="ZE38" s="27"/>
      <c r="ZF38" s="27"/>
      <c r="ZG38" s="27"/>
      <c r="ZH38" s="27"/>
      <c r="ZI38" s="27"/>
      <c r="ZJ38" s="27"/>
      <c r="ZK38" s="27"/>
      <c r="ZL38" s="27"/>
      <c r="ZM38" s="27"/>
      <c r="ZN38" s="27"/>
      <c r="ZO38" s="27"/>
      <c r="ZP38" s="27"/>
      <c r="ZQ38" s="27"/>
      <c r="ZR38" s="27"/>
      <c r="ZS38" s="27"/>
      <c r="ZT38" s="27"/>
      <c r="ZU38" s="27"/>
      <c r="ZV38" s="27"/>
      <c r="ZW38" s="27"/>
      <c r="ZX38" s="27"/>
      <c r="ZY38" s="27"/>
      <c r="ZZ38" s="27"/>
      <c r="AAA38" s="27"/>
      <c r="AAB38" s="27"/>
      <c r="AAC38" s="27"/>
      <c r="AAD38" s="27"/>
      <c r="AAE38" s="27"/>
      <c r="AAF38" s="27"/>
      <c r="AAG38" s="27"/>
      <c r="AAH38" s="27"/>
      <c r="AAI38" s="27"/>
      <c r="AAJ38" s="27"/>
      <c r="AAK38" s="27"/>
      <c r="AAL38" s="27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7"/>
      <c r="AAX38" s="27"/>
      <c r="AAY38" s="27"/>
      <c r="AAZ38" s="27"/>
      <c r="ABA38" s="27"/>
      <c r="ABB38" s="27"/>
      <c r="ABC38" s="27"/>
      <c r="ABD38" s="27"/>
      <c r="ABE38" s="27"/>
      <c r="ABF38" s="27"/>
      <c r="ABG38" s="27"/>
      <c r="ABH38" s="27"/>
      <c r="ABI38" s="27"/>
      <c r="ABJ38" s="27"/>
      <c r="ABK38" s="27"/>
      <c r="ABL38" s="27"/>
      <c r="ABM38" s="27"/>
      <c r="ABN38" s="27"/>
      <c r="ABO38" s="27"/>
      <c r="ABP38" s="27"/>
      <c r="ABQ38" s="27"/>
      <c r="ABR38" s="27"/>
      <c r="ABS38" s="27"/>
      <c r="ABT38" s="27"/>
      <c r="ABU38" s="27"/>
      <c r="ABV38" s="27"/>
      <c r="ABW38" s="27"/>
      <c r="ABX38" s="27"/>
      <c r="ABY38" s="27"/>
      <c r="ABZ38" s="27"/>
      <c r="ACA38" s="27"/>
      <c r="ACB38" s="27"/>
      <c r="ACC38" s="27"/>
      <c r="ACD38" s="27"/>
      <c r="ACE38" s="27"/>
      <c r="ACF38" s="27"/>
      <c r="ACG38" s="27"/>
      <c r="ACH38" s="27"/>
      <c r="ACI38" s="27"/>
      <c r="ACJ38" s="27"/>
      <c r="ACK38" s="27"/>
      <c r="ACL38" s="27"/>
      <c r="ACM38" s="27"/>
      <c r="ACN38" s="27"/>
      <c r="ACO38" s="27"/>
      <c r="ACP38" s="27"/>
      <c r="ACQ38" s="27"/>
      <c r="ACR38" s="27"/>
      <c r="ACS38" s="27"/>
      <c r="ACT38" s="27"/>
      <c r="ACU38" s="27"/>
      <c r="ACV38" s="27"/>
      <c r="ACW38" s="27"/>
      <c r="ACX38" s="27"/>
      <c r="ACY38" s="27"/>
      <c r="ACZ38" s="27"/>
      <c r="ADA38" s="27"/>
      <c r="ADB38" s="27"/>
      <c r="ADC38" s="27"/>
      <c r="ADD38" s="27"/>
      <c r="ADE38" s="27"/>
      <c r="ADF38" s="27"/>
      <c r="ADG38" s="27"/>
      <c r="ADH38" s="27"/>
      <c r="ADI38" s="27"/>
      <c r="ADJ38" s="27"/>
      <c r="ADK38" s="27"/>
      <c r="ADL38" s="27"/>
      <c r="ADM38" s="27"/>
      <c r="ADN38" s="27"/>
      <c r="ADO38" s="27"/>
      <c r="ADP38" s="27"/>
      <c r="ADQ38" s="27"/>
      <c r="ADR38" s="27"/>
      <c r="ADS38" s="27"/>
      <c r="ADT38" s="27"/>
      <c r="ADU38" s="27"/>
      <c r="ADV38" s="27"/>
      <c r="ADW38" s="27"/>
      <c r="ADX38" s="27"/>
      <c r="ADY38" s="27"/>
      <c r="ADZ38" s="27"/>
      <c r="AEA38" s="27"/>
      <c r="AEB38" s="27"/>
      <c r="AEC38" s="27"/>
      <c r="AED38" s="27"/>
      <c r="AEE38" s="27"/>
      <c r="AEF38" s="27"/>
      <c r="AEG38" s="27"/>
      <c r="AEH38" s="27"/>
      <c r="AEI38" s="27"/>
      <c r="AEJ38" s="27"/>
      <c r="AEK38" s="27"/>
      <c r="AEL38" s="27"/>
      <c r="AEM38" s="27"/>
      <c r="AEN38" s="27"/>
      <c r="AEO38" s="27"/>
      <c r="AEP38" s="27"/>
      <c r="AEQ38" s="27"/>
      <c r="AER38" s="27"/>
      <c r="AES38" s="27"/>
      <c r="AET38" s="27"/>
      <c r="AEU38" s="27"/>
      <c r="AEV38" s="27"/>
      <c r="AEW38" s="27"/>
      <c r="AEX38" s="27"/>
      <c r="AEY38" s="27"/>
      <c r="AEZ38" s="27"/>
      <c r="AFA38" s="27"/>
      <c r="AFB38" s="27"/>
      <c r="AFC38" s="27"/>
      <c r="AFD38" s="27"/>
      <c r="AFE38" s="27"/>
      <c r="AFF38" s="27"/>
      <c r="AFG38" s="27"/>
      <c r="AFH38" s="27"/>
      <c r="AFI38" s="27"/>
      <c r="AFJ38" s="27"/>
      <c r="AFK38" s="27"/>
      <c r="AFL38" s="27"/>
      <c r="AFM38" s="27"/>
      <c r="AFN38" s="27"/>
      <c r="AFO38" s="27"/>
      <c r="AFP38" s="27"/>
      <c r="AFQ38" s="27"/>
      <c r="AFR38" s="27"/>
      <c r="AFS38" s="27"/>
      <c r="AFT38" s="27"/>
      <c r="AFU38" s="27"/>
      <c r="AFV38" s="27"/>
      <c r="AFW38" s="27"/>
      <c r="AFX38" s="27"/>
      <c r="AFY38" s="27"/>
      <c r="AFZ38" s="27"/>
      <c r="AGA38" s="27"/>
      <c r="AGB38" s="27"/>
      <c r="AGC38" s="27"/>
      <c r="AGD38" s="27"/>
      <c r="AGE38" s="27"/>
      <c r="AGF38" s="27"/>
      <c r="AGG38" s="27"/>
      <c r="AGH38" s="27"/>
      <c r="AGI38" s="27"/>
      <c r="AGJ38" s="27"/>
      <c r="AGK38" s="27"/>
      <c r="AGL38" s="27"/>
      <c r="AGM38" s="27"/>
      <c r="AGN38" s="27"/>
      <c r="AGO38" s="27"/>
      <c r="AGP38" s="27"/>
      <c r="AGQ38" s="27"/>
      <c r="AGR38" s="27"/>
      <c r="AGS38" s="27"/>
      <c r="AGT38" s="27"/>
      <c r="AGU38" s="27"/>
      <c r="AGV38" s="27"/>
      <c r="AGW38" s="27"/>
      <c r="AGX38" s="27"/>
      <c r="AGY38" s="27"/>
      <c r="AGZ38" s="27"/>
      <c r="AHA38" s="27"/>
      <c r="AHB38" s="27"/>
      <c r="AHC38" s="27"/>
      <c r="AHD38" s="27"/>
      <c r="AHE38" s="27"/>
      <c r="AHF38" s="27"/>
      <c r="AHG38" s="27"/>
      <c r="AHH38" s="27"/>
      <c r="AHI38" s="27"/>
      <c r="AHJ38" s="27"/>
      <c r="AHK38" s="27"/>
      <c r="AHL38" s="27"/>
      <c r="AHM38" s="27"/>
      <c r="AHN38" s="27"/>
      <c r="AHO38" s="27"/>
      <c r="AHP38" s="27"/>
      <c r="AHQ38" s="27"/>
      <c r="AHR38" s="27"/>
      <c r="AHS38" s="27"/>
      <c r="AHT38" s="27"/>
      <c r="AHU38" s="27"/>
      <c r="AHV38" s="27"/>
      <c r="AHW38" s="27"/>
      <c r="AHX38" s="27"/>
      <c r="AHY38" s="27"/>
      <c r="AHZ38" s="27"/>
      <c r="AIA38" s="27"/>
      <c r="AIB38" s="27"/>
      <c r="AIC38" s="27"/>
      <c r="AID38" s="27"/>
      <c r="AIE38" s="27"/>
      <c r="AIF38" s="27"/>
      <c r="AIG38" s="27"/>
      <c r="AIH38" s="27"/>
      <c r="AII38" s="27"/>
      <c r="AIJ38" s="27"/>
      <c r="AIK38" s="27"/>
      <c r="AIL38" s="27"/>
      <c r="AIM38" s="27"/>
      <c r="AIN38" s="27"/>
      <c r="AIO38" s="27"/>
      <c r="AIP38" s="27"/>
      <c r="AIQ38" s="27"/>
      <c r="AIR38" s="27"/>
      <c r="AIS38" s="27"/>
      <c r="AIT38" s="27"/>
      <c r="AIU38" s="27"/>
      <c r="AIV38" s="27"/>
      <c r="AIW38" s="27"/>
      <c r="AIX38" s="27"/>
      <c r="AIY38" s="27"/>
      <c r="AIZ38" s="27"/>
      <c r="AJA38" s="27"/>
      <c r="AJB38" s="27"/>
      <c r="AJC38" s="27"/>
      <c r="AJD38" s="27"/>
      <c r="AJE38" s="27"/>
      <c r="AJF38" s="27"/>
      <c r="AJG38" s="27"/>
      <c r="AJH38" s="27"/>
      <c r="AJI38" s="27"/>
      <c r="AJJ38" s="27"/>
      <c r="AJK38" s="27"/>
      <c r="AJL38" s="27"/>
      <c r="AJM38" s="27"/>
      <c r="AJN38" s="27"/>
      <c r="AJO38" s="27"/>
      <c r="AJP38" s="27"/>
      <c r="AJQ38" s="27"/>
      <c r="AJR38" s="27"/>
      <c r="AJS38" s="27"/>
      <c r="AJT38" s="27"/>
      <c r="AJU38" s="27"/>
      <c r="AJV38" s="27"/>
      <c r="AJW38" s="27"/>
      <c r="AJX38" s="27"/>
      <c r="AJY38" s="27"/>
      <c r="AJZ38" s="27"/>
      <c r="AKA38" s="27"/>
      <c r="AKB38" s="27"/>
      <c r="AKC38" s="27"/>
      <c r="AKD38" s="27"/>
      <c r="AKE38" s="27"/>
      <c r="AKF38" s="27"/>
      <c r="AKG38" s="27"/>
      <c r="AKH38" s="27"/>
      <c r="AKI38" s="27"/>
      <c r="AKJ38" s="27"/>
      <c r="AKK38" s="27"/>
      <c r="AKL38" s="27"/>
      <c r="AKM38" s="27"/>
      <c r="AKN38" s="27"/>
      <c r="AKO38" s="27"/>
      <c r="AKP38" s="27"/>
      <c r="AKQ38" s="27"/>
      <c r="AKR38" s="27"/>
      <c r="AKS38" s="27"/>
      <c r="AKT38" s="27"/>
      <c r="AKU38" s="27"/>
      <c r="AKV38" s="27"/>
      <c r="AKW38" s="27"/>
      <c r="AKX38" s="27"/>
      <c r="AKY38" s="27"/>
      <c r="AKZ38" s="27"/>
      <c r="ALA38" s="27"/>
      <c r="ALB38" s="27"/>
      <c r="ALC38" s="27"/>
      <c r="ALD38" s="27"/>
      <c r="ALE38" s="27"/>
      <c r="ALF38" s="27"/>
      <c r="ALG38" s="27"/>
      <c r="ALH38" s="27"/>
      <c r="ALI38" s="27"/>
      <c r="ALJ38" s="27"/>
      <c r="ALK38" s="27"/>
      <c r="ALL38" s="27"/>
      <c r="ALM38" s="27"/>
      <c r="ALN38" s="27"/>
      <c r="ALO38" s="27"/>
      <c r="ALP38" s="27"/>
      <c r="ALQ38" s="27"/>
      <c r="ALR38" s="27"/>
      <c r="ALS38" s="27"/>
      <c r="ALT38" s="27"/>
      <c r="ALU38" s="27"/>
      <c r="ALV38" s="27"/>
      <c r="ALW38" s="27"/>
      <c r="ALX38" s="27"/>
      <c r="ALY38" s="27"/>
      <c r="ALZ38" s="27"/>
      <c r="AMA38" s="27"/>
      <c r="AMB38" s="27"/>
      <c r="AMC38" s="27"/>
      <c r="AMD38" s="27"/>
      <c r="AME38" s="27"/>
      <c r="AMF38" s="27"/>
      <c r="AMG38" s="27"/>
      <c r="AMH38" s="27"/>
      <c r="AMI38" s="27"/>
      <c r="AMJ38" s="27"/>
      <c r="AMK38" s="27"/>
    </row>
    <row r="39" spans="1:1025" ht="15" customHeight="1">
      <c r="A39" s="28" t="s">
        <v>15</v>
      </c>
      <c r="B39" s="116"/>
      <c r="C39" s="45" t="s">
        <v>106</v>
      </c>
      <c r="D39" s="45" t="s">
        <v>107</v>
      </c>
      <c r="E39" s="39">
        <v>1</v>
      </c>
      <c r="F39" s="91" t="b">
        <v>0</v>
      </c>
      <c r="G39" s="40">
        <v>2</v>
      </c>
      <c r="H39" s="40">
        <v>2.91</v>
      </c>
      <c r="I39" s="39" t="s">
        <v>63</v>
      </c>
      <c r="J39" s="39" t="s">
        <v>64</v>
      </c>
      <c r="K39" s="40">
        <f>G39+0.3</f>
        <v>2.2999999999999998</v>
      </c>
      <c r="L39" s="40">
        <f>H39+0.3</f>
        <v>3.21</v>
      </c>
      <c r="M39" s="33"/>
      <c r="N39" s="34"/>
      <c r="O39" s="74"/>
      <c r="P39" s="73"/>
      <c r="Q39" s="16"/>
      <c r="R39" s="46"/>
      <c r="S39" s="50"/>
      <c r="T39" s="48"/>
      <c r="U39" s="48"/>
      <c r="V39" s="113"/>
      <c r="W39" s="46"/>
      <c r="X39" s="49"/>
      <c r="Y39" s="49"/>
      <c r="Z39" s="49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7"/>
      <c r="OI39" s="27"/>
      <c r="OJ39" s="27"/>
      <c r="OK39" s="27"/>
      <c r="OL39" s="27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27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7"/>
      <c r="RV39" s="27"/>
      <c r="RW39" s="27"/>
      <c r="RX39" s="27"/>
      <c r="RY39" s="27"/>
      <c r="RZ39" s="27"/>
      <c r="SA39" s="27"/>
      <c r="SB39" s="27"/>
      <c r="SC39" s="27"/>
      <c r="SD39" s="27"/>
      <c r="SE39" s="27"/>
      <c r="SF39" s="27"/>
      <c r="SG39" s="27"/>
      <c r="SH39" s="27"/>
      <c r="SI39" s="27"/>
      <c r="SJ39" s="27"/>
      <c r="SK39" s="27"/>
      <c r="SL39" s="27"/>
      <c r="SM39" s="27"/>
      <c r="SN39" s="27"/>
      <c r="SO39" s="27"/>
      <c r="SP39" s="27"/>
      <c r="SQ39" s="27"/>
      <c r="SR39" s="27"/>
      <c r="SS39" s="27"/>
      <c r="ST39" s="27"/>
      <c r="SU39" s="27"/>
      <c r="SV39" s="27"/>
      <c r="SW39" s="27"/>
      <c r="SX39" s="27"/>
      <c r="SY39" s="27"/>
      <c r="SZ39" s="27"/>
      <c r="TA39" s="27"/>
      <c r="TB39" s="27"/>
      <c r="TC39" s="27"/>
      <c r="TD39" s="27"/>
      <c r="TE39" s="27"/>
      <c r="TF39" s="27"/>
      <c r="TG39" s="27"/>
      <c r="TH39" s="27"/>
      <c r="TI39" s="27"/>
      <c r="TJ39" s="27"/>
      <c r="TK39" s="27"/>
      <c r="TL39" s="27"/>
      <c r="TM39" s="27"/>
      <c r="TN39" s="27"/>
      <c r="TO39" s="27"/>
      <c r="TP39" s="27"/>
      <c r="TQ39" s="27"/>
      <c r="TR39" s="27"/>
      <c r="TS39" s="27"/>
      <c r="TT39" s="27"/>
      <c r="TU39" s="27"/>
      <c r="TV39" s="27"/>
      <c r="TW39" s="27"/>
      <c r="TX39" s="27"/>
      <c r="TY39" s="27"/>
      <c r="TZ39" s="27"/>
      <c r="UA39" s="27"/>
      <c r="UB39" s="27"/>
      <c r="UC39" s="27"/>
      <c r="UD39" s="27"/>
      <c r="UE39" s="27"/>
      <c r="UF39" s="27"/>
      <c r="UG39" s="27"/>
      <c r="UH39" s="27"/>
      <c r="UI39" s="27"/>
      <c r="UJ39" s="27"/>
      <c r="UK39" s="27"/>
      <c r="UL39" s="27"/>
      <c r="UM39" s="27"/>
      <c r="UN39" s="27"/>
      <c r="UO39" s="27"/>
      <c r="UP39" s="27"/>
      <c r="UQ39" s="27"/>
      <c r="UR39" s="27"/>
      <c r="US39" s="27"/>
      <c r="UT39" s="27"/>
      <c r="UU39" s="27"/>
      <c r="UV39" s="27"/>
      <c r="UW39" s="27"/>
      <c r="UX39" s="27"/>
      <c r="UY39" s="27"/>
      <c r="UZ39" s="27"/>
      <c r="VA39" s="27"/>
      <c r="VB39" s="27"/>
      <c r="VC39" s="27"/>
      <c r="VD39" s="27"/>
      <c r="VE39" s="27"/>
      <c r="VF39" s="27"/>
      <c r="VG39" s="27"/>
      <c r="VH39" s="27"/>
      <c r="VI39" s="27"/>
      <c r="VJ39" s="27"/>
      <c r="VK39" s="27"/>
      <c r="VL39" s="27"/>
      <c r="VM39" s="27"/>
      <c r="VN39" s="27"/>
      <c r="VO39" s="27"/>
      <c r="VP39" s="27"/>
      <c r="VQ39" s="27"/>
      <c r="VR39" s="27"/>
      <c r="VS39" s="27"/>
      <c r="VT39" s="27"/>
      <c r="VU39" s="27"/>
      <c r="VV39" s="27"/>
      <c r="VW39" s="27"/>
      <c r="VX39" s="27"/>
      <c r="VY39" s="27"/>
      <c r="VZ39" s="27"/>
      <c r="WA39" s="27"/>
      <c r="WB39" s="27"/>
      <c r="WC39" s="27"/>
      <c r="WD39" s="27"/>
      <c r="WE39" s="27"/>
      <c r="WF39" s="27"/>
      <c r="WG39" s="27"/>
      <c r="WH39" s="27"/>
      <c r="WI39" s="27"/>
      <c r="WJ39" s="27"/>
      <c r="WK39" s="27"/>
      <c r="WL39" s="27"/>
      <c r="WM39" s="27"/>
      <c r="WN39" s="27"/>
      <c r="WO39" s="27"/>
      <c r="WP39" s="27"/>
      <c r="WQ39" s="27"/>
      <c r="WR39" s="27"/>
      <c r="WS39" s="27"/>
      <c r="WT39" s="27"/>
      <c r="WU39" s="27"/>
      <c r="WV39" s="27"/>
      <c r="WW39" s="27"/>
      <c r="WX39" s="27"/>
      <c r="WY39" s="27"/>
      <c r="WZ39" s="27"/>
      <c r="XA39" s="27"/>
      <c r="XB39" s="27"/>
      <c r="XC39" s="27"/>
      <c r="XD39" s="27"/>
      <c r="XE39" s="27"/>
      <c r="XF39" s="27"/>
      <c r="XG39" s="27"/>
      <c r="XH39" s="27"/>
      <c r="XI39" s="27"/>
      <c r="XJ39" s="27"/>
      <c r="XK39" s="27"/>
      <c r="XL39" s="27"/>
      <c r="XM39" s="27"/>
      <c r="XN39" s="27"/>
      <c r="XO39" s="27"/>
      <c r="XP39" s="27"/>
      <c r="XQ39" s="27"/>
      <c r="XR39" s="27"/>
      <c r="XS39" s="27"/>
      <c r="XT39" s="27"/>
      <c r="XU39" s="27"/>
      <c r="XV39" s="27"/>
      <c r="XW39" s="27"/>
      <c r="XX39" s="27"/>
      <c r="XY39" s="27"/>
      <c r="XZ39" s="27"/>
      <c r="YA39" s="27"/>
      <c r="YB39" s="27"/>
      <c r="YC39" s="27"/>
      <c r="YD39" s="27"/>
      <c r="YE39" s="27"/>
      <c r="YF39" s="27"/>
      <c r="YG39" s="27"/>
      <c r="YH39" s="27"/>
      <c r="YI39" s="27"/>
      <c r="YJ39" s="27"/>
      <c r="YK39" s="27"/>
      <c r="YL39" s="27"/>
      <c r="YM39" s="27"/>
      <c r="YN39" s="27"/>
      <c r="YO39" s="27"/>
      <c r="YP39" s="27"/>
      <c r="YQ39" s="27"/>
      <c r="YR39" s="27"/>
      <c r="YS39" s="27"/>
      <c r="YT39" s="27"/>
      <c r="YU39" s="27"/>
      <c r="YV39" s="27"/>
      <c r="YW39" s="27"/>
      <c r="YX39" s="27"/>
      <c r="YY39" s="27"/>
      <c r="YZ39" s="27"/>
      <c r="ZA39" s="27"/>
      <c r="ZB39" s="27"/>
      <c r="ZC39" s="27"/>
      <c r="ZD39" s="27"/>
      <c r="ZE39" s="27"/>
      <c r="ZF39" s="27"/>
      <c r="ZG39" s="27"/>
      <c r="ZH39" s="27"/>
      <c r="ZI39" s="27"/>
      <c r="ZJ39" s="27"/>
      <c r="ZK39" s="27"/>
      <c r="ZL39" s="27"/>
      <c r="ZM39" s="27"/>
      <c r="ZN39" s="27"/>
      <c r="ZO39" s="27"/>
      <c r="ZP39" s="27"/>
      <c r="ZQ39" s="27"/>
      <c r="ZR39" s="27"/>
      <c r="ZS39" s="27"/>
      <c r="ZT39" s="27"/>
      <c r="ZU39" s="27"/>
      <c r="ZV39" s="27"/>
      <c r="ZW39" s="27"/>
      <c r="ZX39" s="27"/>
      <c r="ZY39" s="27"/>
      <c r="ZZ39" s="27"/>
      <c r="AAA39" s="27"/>
      <c r="AAB39" s="27"/>
      <c r="AAC39" s="27"/>
      <c r="AAD39" s="27"/>
      <c r="AAE39" s="27"/>
      <c r="AAF39" s="27"/>
      <c r="AAG39" s="27"/>
      <c r="AAH39" s="27"/>
      <c r="AAI39" s="27"/>
      <c r="AAJ39" s="27"/>
      <c r="AAK39" s="27"/>
      <c r="AAL39" s="27"/>
      <c r="AAM39" s="27"/>
      <c r="AAN39" s="27"/>
      <c r="AAO39" s="27"/>
      <c r="AAP39" s="27"/>
      <c r="AAQ39" s="27"/>
      <c r="AAR39" s="27"/>
      <c r="AAS39" s="27"/>
      <c r="AAT39" s="27"/>
      <c r="AAU39" s="27"/>
      <c r="AAV39" s="27"/>
      <c r="AAW39" s="27"/>
      <c r="AAX39" s="27"/>
      <c r="AAY39" s="27"/>
      <c r="AAZ39" s="27"/>
      <c r="ABA39" s="27"/>
      <c r="ABB39" s="27"/>
      <c r="ABC39" s="27"/>
      <c r="ABD39" s="27"/>
      <c r="ABE39" s="27"/>
      <c r="ABF39" s="27"/>
      <c r="ABG39" s="27"/>
      <c r="ABH39" s="27"/>
      <c r="ABI39" s="27"/>
      <c r="ABJ39" s="27"/>
      <c r="ABK39" s="27"/>
      <c r="ABL39" s="27"/>
      <c r="ABM39" s="27"/>
      <c r="ABN39" s="27"/>
      <c r="ABO39" s="27"/>
      <c r="ABP39" s="27"/>
      <c r="ABQ39" s="27"/>
      <c r="ABR39" s="27"/>
      <c r="ABS39" s="27"/>
      <c r="ABT39" s="27"/>
      <c r="ABU39" s="27"/>
      <c r="ABV39" s="27"/>
      <c r="ABW39" s="27"/>
      <c r="ABX39" s="27"/>
      <c r="ABY39" s="27"/>
      <c r="ABZ39" s="27"/>
      <c r="ACA39" s="27"/>
      <c r="ACB39" s="27"/>
      <c r="ACC39" s="27"/>
      <c r="ACD39" s="27"/>
      <c r="ACE39" s="27"/>
      <c r="ACF39" s="27"/>
      <c r="ACG39" s="27"/>
      <c r="ACH39" s="27"/>
      <c r="ACI39" s="27"/>
      <c r="ACJ39" s="27"/>
      <c r="ACK39" s="27"/>
      <c r="ACL39" s="27"/>
      <c r="ACM39" s="27"/>
      <c r="ACN39" s="27"/>
      <c r="ACO39" s="27"/>
      <c r="ACP39" s="27"/>
      <c r="ACQ39" s="27"/>
      <c r="ACR39" s="27"/>
      <c r="ACS39" s="27"/>
      <c r="ACT39" s="27"/>
      <c r="ACU39" s="27"/>
      <c r="ACV39" s="27"/>
      <c r="ACW39" s="27"/>
      <c r="ACX39" s="27"/>
      <c r="ACY39" s="27"/>
      <c r="ACZ39" s="27"/>
      <c r="ADA39" s="27"/>
      <c r="ADB39" s="27"/>
      <c r="ADC39" s="27"/>
      <c r="ADD39" s="27"/>
      <c r="ADE39" s="27"/>
      <c r="ADF39" s="27"/>
      <c r="ADG39" s="27"/>
      <c r="ADH39" s="27"/>
      <c r="ADI39" s="27"/>
      <c r="ADJ39" s="27"/>
      <c r="ADK39" s="27"/>
      <c r="ADL39" s="27"/>
      <c r="ADM39" s="27"/>
      <c r="ADN39" s="27"/>
      <c r="ADO39" s="27"/>
      <c r="ADP39" s="27"/>
      <c r="ADQ39" s="27"/>
      <c r="ADR39" s="27"/>
      <c r="ADS39" s="27"/>
      <c r="ADT39" s="27"/>
      <c r="ADU39" s="27"/>
      <c r="ADV39" s="27"/>
      <c r="ADW39" s="27"/>
      <c r="ADX39" s="27"/>
      <c r="ADY39" s="27"/>
      <c r="ADZ39" s="27"/>
      <c r="AEA39" s="27"/>
      <c r="AEB39" s="27"/>
      <c r="AEC39" s="27"/>
      <c r="AED39" s="27"/>
      <c r="AEE39" s="27"/>
      <c r="AEF39" s="27"/>
      <c r="AEG39" s="27"/>
      <c r="AEH39" s="27"/>
      <c r="AEI39" s="27"/>
      <c r="AEJ39" s="27"/>
      <c r="AEK39" s="27"/>
      <c r="AEL39" s="27"/>
      <c r="AEM39" s="27"/>
      <c r="AEN39" s="27"/>
      <c r="AEO39" s="27"/>
      <c r="AEP39" s="27"/>
      <c r="AEQ39" s="27"/>
      <c r="AER39" s="27"/>
      <c r="AES39" s="27"/>
      <c r="AET39" s="27"/>
      <c r="AEU39" s="27"/>
      <c r="AEV39" s="27"/>
      <c r="AEW39" s="27"/>
      <c r="AEX39" s="27"/>
      <c r="AEY39" s="27"/>
      <c r="AEZ39" s="27"/>
      <c r="AFA39" s="27"/>
      <c r="AFB39" s="27"/>
      <c r="AFC39" s="27"/>
      <c r="AFD39" s="27"/>
      <c r="AFE39" s="27"/>
      <c r="AFF39" s="27"/>
      <c r="AFG39" s="27"/>
      <c r="AFH39" s="27"/>
      <c r="AFI39" s="27"/>
      <c r="AFJ39" s="27"/>
      <c r="AFK39" s="27"/>
      <c r="AFL39" s="27"/>
      <c r="AFM39" s="27"/>
      <c r="AFN39" s="27"/>
      <c r="AFO39" s="27"/>
      <c r="AFP39" s="27"/>
      <c r="AFQ39" s="27"/>
      <c r="AFR39" s="27"/>
      <c r="AFS39" s="27"/>
      <c r="AFT39" s="27"/>
      <c r="AFU39" s="27"/>
      <c r="AFV39" s="27"/>
      <c r="AFW39" s="27"/>
      <c r="AFX39" s="27"/>
      <c r="AFY39" s="27"/>
      <c r="AFZ39" s="27"/>
      <c r="AGA39" s="27"/>
      <c r="AGB39" s="27"/>
      <c r="AGC39" s="27"/>
      <c r="AGD39" s="27"/>
      <c r="AGE39" s="27"/>
      <c r="AGF39" s="27"/>
      <c r="AGG39" s="27"/>
      <c r="AGH39" s="27"/>
      <c r="AGI39" s="27"/>
      <c r="AGJ39" s="27"/>
      <c r="AGK39" s="27"/>
      <c r="AGL39" s="27"/>
      <c r="AGM39" s="27"/>
      <c r="AGN39" s="27"/>
      <c r="AGO39" s="27"/>
      <c r="AGP39" s="27"/>
      <c r="AGQ39" s="27"/>
      <c r="AGR39" s="27"/>
      <c r="AGS39" s="27"/>
      <c r="AGT39" s="27"/>
      <c r="AGU39" s="27"/>
      <c r="AGV39" s="27"/>
      <c r="AGW39" s="27"/>
      <c r="AGX39" s="27"/>
      <c r="AGY39" s="27"/>
      <c r="AGZ39" s="27"/>
      <c r="AHA39" s="27"/>
      <c r="AHB39" s="27"/>
      <c r="AHC39" s="27"/>
      <c r="AHD39" s="27"/>
      <c r="AHE39" s="27"/>
      <c r="AHF39" s="27"/>
      <c r="AHG39" s="27"/>
      <c r="AHH39" s="27"/>
      <c r="AHI39" s="27"/>
      <c r="AHJ39" s="27"/>
      <c r="AHK39" s="27"/>
      <c r="AHL39" s="27"/>
      <c r="AHM39" s="27"/>
      <c r="AHN39" s="27"/>
      <c r="AHO39" s="27"/>
      <c r="AHP39" s="27"/>
      <c r="AHQ39" s="27"/>
      <c r="AHR39" s="27"/>
      <c r="AHS39" s="27"/>
      <c r="AHT39" s="27"/>
      <c r="AHU39" s="27"/>
      <c r="AHV39" s="27"/>
      <c r="AHW39" s="27"/>
      <c r="AHX39" s="27"/>
      <c r="AHY39" s="27"/>
      <c r="AHZ39" s="27"/>
      <c r="AIA39" s="27"/>
      <c r="AIB39" s="27"/>
      <c r="AIC39" s="27"/>
      <c r="AID39" s="27"/>
      <c r="AIE39" s="27"/>
      <c r="AIF39" s="27"/>
      <c r="AIG39" s="27"/>
      <c r="AIH39" s="27"/>
      <c r="AII39" s="27"/>
      <c r="AIJ39" s="27"/>
      <c r="AIK39" s="27"/>
      <c r="AIL39" s="27"/>
      <c r="AIM39" s="27"/>
      <c r="AIN39" s="27"/>
      <c r="AIO39" s="27"/>
      <c r="AIP39" s="27"/>
      <c r="AIQ39" s="27"/>
      <c r="AIR39" s="27"/>
      <c r="AIS39" s="27"/>
      <c r="AIT39" s="27"/>
      <c r="AIU39" s="27"/>
      <c r="AIV39" s="27"/>
      <c r="AIW39" s="27"/>
      <c r="AIX39" s="27"/>
      <c r="AIY39" s="27"/>
      <c r="AIZ39" s="27"/>
      <c r="AJA39" s="27"/>
      <c r="AJB39" s="27"/>
      <c r="AJC39" s="27"/>
      <c r="AJD39" s="27"/>
      <c r="AJE39" s="27"/>
      <c r="AJF39" s="27"/>
      <c r="AJG39" s="27"/>
      <c r="AJH39" s="27"/>
      <c r="AJI39" s="27"/>
      <c r="AJJ39" s="27"/>
      <c r="AJK39" s="27"/>
      <c r="AJL39" s="27"/>
      <c r="AJM39" s="27"/>
      <c r="AJN39" s="27"/>
      <c r="AJO39" s="27"/>
      <c r="AJP39" s="27"/>
      <c r="AJQ39" s="27"/>
      <c r="AJR39" s="27"/>
      <c r="AJS39" s="27"/>
      <c r="AJT39" s="27"/>
      <c r="AJU39" s="27"/>
      <c r="AJV39" s="27"/>
      <c r="AJW39" s="27"/>
      <c r="AJX39" s="27"/>
      <c r="AJY39" s="27"/>
      <c r="AJZ39" s="27"/>
      <c r="AKA39" s="27"/>
      <c r="AKB39" s="27"/>
      <c r="AKC39" s="27"/>
      <c r="AKD39" s="27"/>
      <c r="AKE39" s="27"/>
      <c r="AKF39" s="27"/>
      <c r="AKG39" s="27"/>
      <c r="AKH39" s="27"/>
      <c r="AKI39" s="27"/>
      <c r="AKJ39" s="27"/>
      <c r="AKK39" s="27"/>
      <c r="AKL39" s="27"/>
      <c r="AKM39" s="27"/>
      <c r="AKN39" s="27"/>
      <c r="AKO39" s="27"/>
      <c r="AKP39" s="27"/>
      <c r="AKQ39" s="27"/>
      <c r="AKR39" s="27"/>
      <c r="AKS39" s="27"/>
      <c r="AKT39" s="27"/>
      <c r="AKU39" s="27"/>
      <c r="AKV39" s="27"/>
      <c r="AKW39" s="27"/>
      <c r="AKX39" s="27"/>
      <c r="AKY39" s="27"/>
      <c r="AKZ39" s="27"/>
      <c r="ALA39" s="27"/>
      <c r="ALB39" s="27"/>
      <c r="ALC39" s="27"/>
      <c r="ALD39" s="27"/>
      <c r="ALE39" s="27"/>
      <c r="ALF39" s="27"/>
      <c r="ALG39" s="27"/>
      <c r="ALH39" s="27"/>
      <c r="ALI39" s="27"/>
      <c r="ALJ39" s="27"/>
      <c r="ALK39" s="27"/>
      <c r="ALL39" s="27"/>
      <c r="ALM39" s="27"/>
      <c r="ALN39" s="27"/>
      <c r="ALO39" s="27"/>
      <c r="ALP39" s="27"/>
      <c r="ALQ39" s="27"/>
      <c r="ALR39" s="27"/>
      <c r="ALS39" s="27"/>
      <c r="ALT39" s="27"/>
      <c r="ALU39" s="27"/>
      <c r="ALV39" s="27"/>
      <c r="ALW39" s="27"/>
      <c r="ALX39" s="27"/>
      <c r="ALY39" s="27"/>
      <c r="ALZ39" s="27"/>
      <c r="AMA39" s="27"/>
      <c r="AMB39" s="27"/>
      <c r="AMC39" s="27"/>
      <c r="AMD39" s="27"/>
      <c r="AME39" s="27"/>
      <c r="AMF39" s="27"/>
      <c r="AMG39" s="27"/>
      <c r="AMH39" s="27"/>
      <c r="AMI39" s="27"/>
      <c r="AMJ39" s="27"/>
      <c r="AMK39" s="27"/>
    </row>
    <row r="40" spans="1:1025" ht="15" customHeight="1">
      <c r="A40" s="28" t="s">
        <v>15</v>
      </c>
      <c r="B40" s="116"/>
      <c r="C40" s="45" t="s">
        <v>108</v>
      </c>
      <c r="D40" s="45" t="s">
        <v>109</v>
      </c>
      <c r="E40" s="39">
        <v>1</v>
      </c>
      <c r="F40" s="91" t="b">
        <v>0</v>
      </c>
      <c r="G40" s="40">
        <v>2</v>
      </c>
      <c r="H40" s="40">
        <v>2.91</v>
      </c>
      <c r="I40" s="39" t="s">
        <v>63</v>
      </c>
      <c r="J40" s="39" t="s">
        <v>64</v>
      </c>
      <c r="K40" s="40">
        <f t="shared" ref="K40:L42" si="6">G40+0.3</f>
        <v>2.2999999999999998</v>
      </c>
      <c r="L40" s="40">
        <f t="shared" si="6"/>
        <v>3.21</v>
      </c>
      <c r="M40" s="33"/>
      <c r="N40" s="34"/>
      <c r="O40" s="74"/>
      <c r="P40" s="73"/>
      <c r="Q40" s="16"/>
      <c r="R40" s="46"/>
      <c r="S40" s="50"/>
      <c r="T40" s="48"/>
      <c r="U40" s="48"/>
      <c r="V40" s="113"/>
      <c r="W40" s="46"/>
      <c r="X40" s="49"/>
      <c r="Y40" s="49"/>
      <c r="Z40" s="49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  <c r="SG40" s="27"/>
      <c r="SH40" s="27"/>
      <c r="SI40" s="27"/>
      <c r="SJ40" s="27"/>
      <c r="SK40" s="27"/>
      <c r="SL40" s="27"/>
      <c r="SM40" s="27"/>
      <c r="SN40" s="27"/>
      <c r="SO40" s="27"/>
      <c r="SP40" s="27"/>
      <c r="SQ40" s="27"/>
      <c r="SR40" s="27"/>
      <c r="SS40" s="27"/>
      <c r="ST40" s="27"/>
      <c r="SU40" s="27"/>
      <c r="SV40" s="27"/>
      <c r="SW40" s="27"/>
      <c r="SX40" s="27"/>
      <c r="SY40" s="27"/>
      <c r="SZ40" s="27"/>
      <c r="TA40" s="27"/>
      <c r="TB40" s="27"/>
      <c r="TC40" s="27"/>
      <c r="TD40" s="27"/>
      <c r="TE40" s="27"/>
      <c r="TF40" s="27"/>
      <c r="TG40" s="27"/>
      <c r="TH40" s="27"/>
      <c r="TI40" s="27"/>
      <c r="TJ40" s="27"/>
      <c r="TK40" s="27"/>
      <c r="TL40" s="27"/>
      <c r="TM40" s="27"/>
      <c r="TN40" s="27"/>
      <c r="TO40" s="27"/>
      <c r="TP40" s="27"/>
      <c r="TQ40" s="27"/>
      <c r="TR40" s="27"/>
      <c r="TS40" s="27"/>
      <c r="TT40" s="27"/>
      <c r="TU40" s="27"/>
      <c r="TV40" s="27"/>
      <c r="TW40" s="27"/>
      <c r="TX40" s="27"/>
      <c r="TY40" s="27"/>
      <c r="TZ40" s="27"/>
      <c r="UA40" s="27"/>
      <c r="UB40" s="27"/>
      <c r="UC40" s="27"/>
      <c r="UD40" s="27"/>
      <c r="UE40" s="27"/>
      <c r="UF40" s="27"/>
      <c r="UG40" s="27"/>
      <c r="UH40" s="27"/>
      <c r="UI40" s="27"/>
      <c r="UJ40" s="27"/>
      <c r="UK40" s="27"/>
      <c r="UL40" s="27"/>
      <c r="UM40" s="27"/>
      <c r="UN40" s="27"/>
      <c r="UO40" s="27"/>
      <c r="UP40" s="27"/>
      <c r="UQ40" s="27"/>
      <c r="UR40" s="27"/>
      <c r="US40" s="27"/>
      <c r="UT40" s="27"/>
      <c r="UU40" s="27"/>
      <c r="UV40" s="27"/>
      <c r="UW40" s="27"/>
      <c r="UX40" s="27"/>
      <c r="UY40" s="27"/>
      <c r="UZ40" s="27"/>
      <c r="VA40" s="27"/>
      <c r="VB40" s="27"/>
      <c r="VC40" s="27"/>
      <c r="VD40" s="27"/>
      <c r="VE40" s="27"/>
      <c r="VF40" s="27"/>
      <c r="VG40" s="27"/>
      <c r="VH40" s="27"/>
      <c r="VI40" s="27"/>
      <c r="VJ40" s="27"/>
      <c r="VK40" s="27"/>
      <c r="VL40" s="27"/>
      <c r="VM40" s="27"/>
      <c r="VN40" s="27"/>
      <c r="VO40" s="27"/>
      <c r="VP40" s="27"/>
      <c r="VQ40" s="27"/>
      <c r="VR40" s="27"/>
      <c r="VS40" s="27"/>
      <c r="VT40" s="27"/>
      <c r="VU40" s="27"/>
      <c r="VV40" s="27"/>
      <c r="VW40" s="27"/>
      <c r="VX40" s="27"/>
      <c r="VY40" s="27"/>
      <c r="VZ40" s="27"/>
      <c r="WA40" s="27"/>
      <c r="WB40" s="27"/>
      <c r="WC40" s="27"/>
      <c r="WD40" s="27"/>
      <c r="WE40" s="27"/>
      <c r="WF40" s="27"/>
      <c r="WG40" s="27"/>
      <c r="WH40" s="27"/>
      <c r="WI40" s="27"/>
      <c r="WJ40" s="27"/>
      <c r="WK40" s="27"/>
      <c r="WL40" s="27"/>
      <c r="WM40" s="27"/>
      <c r="WN40" s="27"/>
      <c r="WO40" s="27"/>
      <c r="WP40" s="27"/>
      <c r="WQ40" s="27"/>
      <c r="WR40" s="27"/>
      <c r="WS40" s="27"/>
      <c r="WT40" s="27"/>
      <c r="WU40" s="27"/>
      <c r="WV40" s="27"/>
      <c r="WW40" s="27"/>
      <c r="WX40" s="27"/>
      <c r="WY40" s="27"/>
      <c r="WZ40" s="27"/>
      <c r="XA40" s="27"/>
      <c r="XB40" s="27"/>
      <c r="XC40" s="27"/>
      <c r="XD40" s="27"/>
      <c r="XE40" s="27"/>
      <c r="XF40" s="27"/>
      <c r="XG40" s="27"/>
      <c r="XH40" s="27"/>
      <c r="XI40" s="27"/>
      <c r="XJ40" s="27"/>
      <c r="XK40" s="27"/>
      <c r="XL40" s="27"/>
      <c r="XM40" s="27"/>
      <c r="XN40" s="27"/>
      <c r="XO40" s="27"/>
      <c r="XP40" s="27"/>
      <c r="XQ40" s="27"/>
      <c r="XR40" s="27"/>
      <c r="XS40" s="27"/>
      <c r="XT40" s="27"/>
      <c r="XU40" s="27"/>
      <c r="XV40" s="27"/>
      <c r="XW40" s="27"/>
      <c r="XX40" s="27"/>
      <c r="XY40" s="27"/>
      <c r="XZ40" s="27"/>
      <c r="YA40" s="27"/>
      <c r="YB40" s="27"/>
      <c r="YC40" s="27"/>
      <c r="YD40" s="27"/>
      <c r="YE40" s="27"/>
      <c r="YF40" s="27"/>
      <c r="YG40" s="27"/>
      <c r="YH40" s="27"/>
      <c r="YI40" s="27"/>
      <c r="YJ40" s="27"/>
      <c r="YK40" s="27"/>
      <c r="YL40" s="27"/>
      <c r="YM40" s="27"/>
      <c r="YN40" s="27"/>
      <c r="YO40" s="27"/>
      <c r="YP40" s="27"/>
      <c r="YQ40" s="27"/>
      <c r="YR40" s="27"/>
      <c r="YS40" s="27"/>
      <c r="YT40" s="27"/>
      <c r="YU40" s="27"/>
      <c r="YV40" s="27"/>
      <c r="YW40" s="27"/>
      <c r="YX40" s="27"/>
      <c r="YY40" s="27"/>
      <c r="YZ40" s="27"/>
      <c r="ZA40" s="27"/>
      <c r="ZB40" s="27"/>
      <c r="ZC40" s="27"/>
      <c r="ZD40" s="27"/>
      <c r="ZE40" s="27"/>
      <c r="ZF40" s="27"/>
      <c r="ZG40" s="27"/>
      <c r="ZH40" s="27"/>
      <c r="ZI40" s="27"/>
      <c r="ZJ40" s="27"/>
      <c r="ZK40" s="27"/>
      <c r="ZL40" s="27"/>
      <c r="ZM40" s="27"/>
      <c r="ZN40" s="27"/>
      <c r="ZO40" s="27"/>
      <c r="ZP40" s="27"/>
      <c r="ZQ40" s="27"/>
      <c r="ZR40" s="27"/>
      <c r="ZS40" s="27"/>
      <c r="ZT40" s="27"/>
      <c r="ZU40" s="27"/>
      <c r="ZV40" s="27"/>
      <c r="ZW40" s="27"/>
      <c r="ZX40" s="27"/>
      <c r="ZY40" s="27"/>
      <c r="ZZ40" s="27"/>
      <c r="AAA40" s="27"/>
      <c r="AAB40" s="27"/>
      <c r="AAC40" s="27"/>
      <c r="AAD40" s="27"/>
      <c r="AAE40" s="27"/>
      <c r="AAF40" s="27"/>
      <c r="AAG40" s="27"/>
      <c r="AAH40" s="27"/>
      <c r="AAI40" s="27"/>
      <c r="AAJ40" s="27"/>
      <c r="AAK40" s="27"/>
      <c r="AAL40" s="27"/>
      <c r="AAM40" s="27"/>
      <c r="AAN40" s="27"/>
      <c r="AAO40" s="27"/>
      <c r="AAP40" s="27"/>
      <c r="AAQ40" s="27"/>
      <c r="AAR40" s="27"/>
      <c r="AAS40" s="27"/>
      <c r="AAT40" s="27"/>
      <c r="AAU40" s="27"/>
      <c r="AAV40" s="27"/>
      <c r="AAW40" s="27"/>
      <c r="AAX40" s="27"/>
      <c r="AAY40" s="27"/>
      <c r="AAZ40" s="27"/>
      <c r="ABA40" s="27"/>
      <c r="ABB40" s="27"/>
      <c r="ABC40" s="27"/>
      <c r="ABD40" s="27"/>
      <c r="ABE40" s="27"/>
      <c r="ABF40" s="27"/>
      <c r="ABG40" s="27"/>
      <c r="ABH40" s="27"/>
      <c r="ABI40" s="27"/>
      <c r="ABJ40" s="27"/>
      <c r="ABK40" s="27"/>
      <c r="ABL40" s="27"/>
      <c r="ABM40" s="27"/>
      <c r="ABN40" s="27"/>
      <c r="ABO40" s="27"/>
      <c r="ABP40" s="27"/>
      <c r="ABQ40" s="27"/>
      <c r="ABR40" s="27"/>
      <c r="ABS40" s="27"/>
      <c r="ABT40" s="27"/>
      <c r="ABU40" s="27"/>
      <c r="ABV40" s="27"/>
      <c r="ABW40" s="27"/>
      <c r="ABX40" s="27"/>
      <c r="ABY40" s="27"/>
      <c r="ABZ40" s="27"/>
      <c r="ACA40" s="27"/>
      <c r="ACB40" s="27"/>
      <c r="ACC40" s="27"/>
      <c r="ACD40" s="27"/>
      <c r="ACE40" s="27"/>
      <c r="ACF40" s="27"/>
      <c r="ACG40" s="27"/>
      <c r="ACH40" s="27"/>
      <c r="ACI40" s="27"/>
      <c r="ACJ40" s="27"/>
      <c r="ACK40" s="27"/>
      <c r="ACL40" s="27"/>
      <c r="ACM40" s="27"/>
      <c r="ACN40" s="27"/>
      <c r="ACO40" s="27"/>
      <c r="ACP40" s="27"/>
      <c r="ACQ40" s="27"/>
      <c r="ACR40" s="27"/>
      <c r="ACS40" s="27"/>
      <c r="ACT40" s="27"/>
      <c r="ACU40" s="27"/>
      <c r="ACV40" s="27"/>
      <c r="ACW40" s="27"/>
      <c r="ACX40" s="27"/>
      <c r="ACY40" s="27"/>
      <c r="ACZ40" s="27"/>
      <c r="ADA40" s="27"/>
      <c r="ADB40" s="27"/>
      <c r="ADC40" s="27"/>
      <c r="ADD40" s="27"/>
      <c r="ADE40" s="27"/>
      <c r="ADF40" s="27"/>
      <c r="ADG40" s="27"/>
      <c r="ADH40" s="27"/>
      <c r="ADI40" s="27"/>
      <c r="ADJ40" s="27"/>
      <c r="ADK40" s="27"/>
      <c r="ADL40" s="27"/>
      <c r="ADM40" s="27"/>
      <c r="ADN40" s="27"/>
      <c r="ADO40" s="27"/>
      <c r="ADP40" s="27"/>
      <c r="ADQ40" s="27"/>
      <c r="ADR40" s="27"/>
      <c r="ADS40" s="27"/>
      <c r="ADT40" s="27"/>
      <c r="ADU40" s="27"/>
      <c r="ADV40" s="27"/>
      <c r="ADW40" s="27"/>
      <c r="ADX40" s="27"/>
      <c r="ADY40" s="27"/>
      <c r="ADZ40" s="27"/>
      <c r="AEA40" s="27"/>
      <c r="AEB40" s="27"/>
      <c r="AEC40" s="27"/>
      <c r="AED40" s="27"/>
      <c r="AEE40" s="27"/>
      <c r="AEF40" s="27"/>
      <c r="AEG40" s="27"/>
      <c r="AEH40" s="27"/>
      <c r="AEI40" s="27"/>
      <c r="AEJ40" s="27"/>
      <c r="AEK40" s="27"/>
      <c r="AEL40" s="27"/>
      <c r="AEM40" s="27"/>
      <c r="AEN40" s="27"/>
      <c r="AEO40" s="27"/>
      <c r="AEP40" s="27"/>
      <c r="AEQ40" s="27"/>
      <c r="AER40" s="27"/>
      <c r="AES40" s="27"/>
      <c r="AET40" s="27"/>
      <c r="AEU40" s="27"/>
      <c r="AEV40" s="27"/>
      <c r="AEW40" s="27"/>
      <c r="AEX40" s="27"/>
      <c r="AEY40" s="27"/>
      <c r="AEZ40" s="27"/>
      <c r="AFA40" s="27"/>
      <c r="AFB40" s="27"/>
      <c r="AFC40" s="27"/>
      <c r="AFD40" s="27"/>
      <c r="AFE40" s="27"/>
      <c r="AFF40" s="27"/>
      <c r="AFG40" s="27"/>
      <c r="AFH40" s="27"/>
      <c r="AFI40" s="27"/>
      <c r="AFJ40" s="27"/>
      <c r="AFK40" s="27"/>
      <c r="AFL40" s="27"/>
      <c r="AFM40" s="27"/>
      <c r="AFN40" s="27"/>
      <c r="AFO40" s="27"/>
      <c r="AFP40" s="27"/>
      <c r="AFQ40" s="27"/>
      <c r="AFR40" s="27"/>
      <c r="AFS40" s="27"/>
      <c r="AFT40" s="27"/>
      <c r="AFU40" s="27"/>
      <c r="AFV40" s="27"/>
      <c r="AFW40" s="27"/>
      <c r="AFX40" s="27"/>
      <c r="AFY40" s="27"/>
      <c r="AFZ40" s="27"/>
      <c r="AGA40" s="27"/>
      <c r="AGB40" s="27"/>
      <c r="AGC40" s="27"/>
      <c r="AGD40" s="27"/>
      <c r="AGE40" s="27"/>
      <c r="AGF40" s="27"/>
      <c r="AGG40" s="27"/>
      <c r="AGH40" s="27"/>
      <c r="AGI40" s="27"/>
      <c r="AGJ40" s="27"/>
      <c r="AGK40" s="27"/>
      <c r="AGL40" s="27"/>
      <c r="AGM40" s="27"/>
      <c r="AGN40" s="27"/>
      <c r="AGO40" s="27"/>
      <c r="AGP40" s="27"/>
      <c r="AGQ40" s="27"/>
      <c r="AGR40" s="27"/>
      <c r="AGS40" s="27"/>
      <c r="AGT40" s="27"/>
      <c r="AGU40" s="27"/>
      <c r="AGV40" s="27"/>
      <c r="AGW40" s="27"/>
      <c r="AGX40" s="27"/>
      <c r="AGY40" s="27"/>
      <c r="AGZ40" s="27"/>
      <c r="AHA40" s="27"/>
      <c r="AHB40" s="27"/>
      <c r="AHC40" s="27"/>
      <c r="AHD40" s="27"/>
      <c r="AHE40" s="27"/>
      <c r="AHF40" s="27"/>
      <c r="AHG40" s="27"/>
      <c r="AHH40" s="27"/>
      <c r="AHI40" s="27"/>
      <c r="AHJ40" s="27"/>
      <c r="AHK40" s="27"/>
      <c r="AHL40" s="27"/>
      <c r="AHM40" s="27"/>
      <c r="AHN40" s="27"/>
      <c r="AHO40" s="27"/>
      <c r="AHP40" s="27"/>
      <c r="AHQ40" s="27"/>
      <c r="AHR40" s="27"/>
      <c r="AHS40" s="27"/>
      <c r="AHT40" s="27"/>
      <c r="AHU40" s="27"/>
      <c r="AHV40" s="27"/>
      <c r="AHW40" s="27"/>
      <c r="AHX40" s="27"/>
      <c r="AHY40" s="27"/>
      <c r="AHZ40" s="27"/>
      <c r="AIA40" s="27"/>
      <c r="AIB40" s="27"/>
      <c r="AIC40" s="27"/>
      <c r="AID40" s="27"/>
      <c r="AIE40" s="27"/>
      <c r="AIF40" s="27"/>
      <c r="AIG40" s="27"/>
      <c r="AIH40" s="27"/>
      <c r="AII40" s="27"/>
      <c r="AIJ40" s="27"/>
      <c r="AIK40" s="27"/>
      <c r="AIL40" s="27"/>
      <c r="AIM40" s="27"/>
      <c r="AIN40" s="27"/>
      <c r="AIO40" s="27"/>
      <c r="AIP40" s="27"/>
      <c r="AIQ40" s="27"/>
      <c r="AIR40" s="27"/>
      <c r="AIS40" s="27"/>
      <c r="AIT40" s="27"/>
      <c r="AIU40" s="27"/>
      <c r="AIV40" s="27"/>
      <c r="AIW40" s="27"/>
      <c r="AIX40" s="27"/>
      <c r="AIY40" s="27"/>
      <c r="AIZ40" s="27"/>
      <c r="AJA40" s="27"/>
      <c r="AJB40" s="27"/>
      <c r="AJC40" s="27"/>
      <c r="AJD40" s="27"/>
      <c r="AJE40" s="27"/>
      <c r="AJF40" s="27"/>
      <c r="AJG40" s="27"/>
      <c r="AJH40" s="27"/>
      <c r="AJI40" s="27"/>
      <c r="AJJ40" s="27"/>
      <c r="AJK40" s="27"/>
      <c r="AJL40" s="27"/>
      <c r="AJM40" s="27"/>
      <c r="AJN40" s="27"/>
      <c r="AJO40" s="27"/>
      <c r="AJP40" s="27"/>
      <c r="AJQ40" s="27"/>
      <c r="AJR40" s="27"/>
      <c r="AJS40" s="27"/>
      <c r="AJT40" s="27"/>
      <c r="AJU40" s="27"/>
      <c r="AJV40" s="27"/>
      <c r="AJW40" s="27"/>
      <c r="AJX40" s="27"/>
      <c r="AJY40" s="27"/>
      <c r="AJZ40" s="27"/>
      <c r="AKA40" s="27"/>
      <c r="AKB40" s="27"/>
      <c r="AKC40" s="27"/>
      <c r="AKD40" s="27"/>
      <c r="AKE40" s="27"/>
      <c r="AKF40" s="27"/>
      <c r="AKG40" s="27"/>
      <c r="AKH40" s="27"/>
      <c r="AKI40" s="27"/>
      <c r="AKJ40" s="27"/>
      <c r="AKK40" s="27"/>
      <c r="AKL40" s="27"/>
      <c r="AKM40" s="27"/>
      <c r="AKN40" s="27"/>
      <c r="AKO40" s="27"/>
      <c r="AKP40" s="27"/>
      <c r="AKQ40" s="27"/>
      <c r="AKR40" s="27"/>
      <c r="AKS40" s="27"/>
      <c r="AKT40" s="27"/>
      <c r="AKU40" s="27"/>
      <c r="AKV40" s="27"/>
      <c r="AKW40" s="27"/>
      <c r="AKX40" s="27"/>
      <c r="AKY40" s="27"/>
      <c r="AKZ40" s="27"/>
      <c r="ALA40" s="27"/>
      <c r="ALB40" s="27"/>
      <c r="ALC40" s="27"/>
      <c r="ALD40" s="27"/>
      <c r="ALE40" s="27"/>
      <c r="ALF40" s="27"/>
      <c r="ALG40" s="27"/>
      <c r="ALH40" s="27"/>
      <c r="ALI40" s="27"/>
      <c r="ALJ40" s="27"/>
      <c r="ALK40" s="27"/>
      <c r="ALL40" s="27"/>
      <c r="ALM40" s="27"/>
      <c r="ALN40" s="27"/>
      <c r="ALO40" s="27"/>
      <c r="ALP40" s="27"/>
      <c r="ALQ40" s="27"/>
      <c r="ALR40" s="27"/>
      <c r="ALS40" s="27"/>
      <c r="ALT40" s="27"/>
      <c r="ALU40" s="27"/>
      <c r="ALV40" s="27"/>
      <c r="ALW40" s="27"/>
      <c r="ALX40" s="27"/>
      <c r="ALY40" s="27"/>
      <c r="ALZ40" s="27"/>
      <c r="AMA40" s="27"/>
      <c r="AMB40" s="27"/>
      <c r="AMC40" s="27"/>
      <c r="AMD40" s="27"/>
      <c r="AME40" s="27"/>
      <c r="AMF40" s="27"/>
      <c r="AMG40" s="27"/>
      <c r="AMH40" s="27"/>
      <c r="AMI40" s="27"/>
      <c r="AMJ40" s="27"/>
      <c r="AMK40" s="27"/>
    </row>
    <row r="41" spans="1:1025" ht="15" customHeight="1">
      <c r="A41" s="28" t="s">
        <v>15</v>
      </c>
      <c r="B41" s="116"/>
      <c r="C41" s="45" t="s">
        <v>110</v>
      </c>
      <c r="D41" s="45" t="s">
        <v>111</v>
      </c>
      <c r="E41" s="39">
        <v>1</v>
      </c>
      <c r="F41" s="91" t="b">
        <v>0</v>
      </c>
      <c r="G41" s="40">
        <v>2</v>
      </c>
      <c r="H41" s="40">
        <v>2.91</v>
      </c>
      <c r="I41" s="39" t="s">
        <v>63</v>
      </c>
      <c r="J41" s="39" t="s">
        <v>64</v>
      </c>
      <c r="K41" s="40">
        <f t="shared" si="6"/>
        <v>2.2999999999999998</v>
      </c>
      <c r="L41" s="40">
        <f t="shared" si="6"/>
        <v>3.21</v>
      </c>
      <c r="M41" s="33"/>
      <c r="N41" s="34"/>
      <c r="O41" s="74"/>
      <c r="P41" s="73"/>
      <c r="Q41" s="16"/>
      <c r="R41" s="46"/>
      <c r="S41" s="50"/>
      <c r="T41" s="48"/>
      <c r="U41" s="48"/>
      <c r="V41" s="113"/>
      <c r="W41" s="46"/>
      <c r="X41" s="49"/>
      <c r="Y41" s="49"/>
      <c r="Z41" s="49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  <c r="UU41" s="27"/>
      <c r="UV41" s="27"/>
      <c r="UW41" s="27"/>
      <c r="UX41" s="27"/>
      <c r="UY41" s="27"/>
      <c r="UZ41" s="27"/>
      <c r="VA41" s="27"/>
      <c r="VB41" s="27"/>
      <c r="VC41" s="27"/>
      <c r="VD41" s="27"/>
      <c r="VE41" s="27"/>
      <c r="VF41" s="27"/>
      <c r="VG41" s="27"/>
      <c r="VH41" s="27"/>
      <c r="VI41" s="27"/>
      <c r="VJ41" s="27"/>
      <c r="VK41" s="27"/>
      <c r="VL41" s="27"/>
      <c r="VM41" s="27"/>
      <c r="VN41" s="27"/>
      <c r="VO41" s="27"/>
      <c r="VP41" s="27"/>
      <c r="VQ41" s="27"/>
      <c r="VR41" s="27"/>
      <c r="VS41" s="27"/>
      <c r="VT41" s="27"/>
      <c r="VU41" s="27"/>
      <c r="VV41" s="27"/>
      <c r="VW41" s="27"/>
      <c r="VX41" s="27"/>
      <c r="VY41" s="27"/>
      <c r="VZ41" s="27"/>
      <c r="WA41" s="27"/>
      <c r="WB41" s="27"/>
      <c r="WC41" s="27"/>
      <c r="WD41" s="27"/>
      <c r="WE41" s="27"/>
      <c r="WF41" s="27"/>
      <c r="WG41" s="27"/>
      <c r="WH41" s="27"/>
      <c r="WI41" s="27"/>
      <c r="WJ41" s="27"/>
      <c r="WK41" s="27"/>
      <c r="WL41" s="27"/>
      <c r="WM41" s="27"/>
      <c r="WN41" s="27"/>
      <c r="WO41" s="27"/>
      <c r="WP41" s="27"/>
      <c r="WQ41" s="27"/>
      <c r="WR41" s="27"/>
      <c r="WS41" s="27"/>
      <c r="WT41" s="27"/>
      <c r="WU41" s="27"/>
      <c r="WV41" s="27"/>
      <c r="WW41" s="27"/>
      <c r="WX41" s="27"/>
      <c r="WY41" s="27"/>
      <c r="WZ41" s="27"/>
      <c r="XA41" s="27"/>
      <c r="XB41" s="27"/>
      <c r="XC41" s="27"/>
      <c r="XD41" s="27"/>
      <c r="XE41" s="27"/>
      <c r="XF41" s="27"/>
      <c r="XG41" s="27"/>
      <c r="XH41" s="27"/>
      <c r="XI41" s="27"/>
      <c r="XJ41" s="27"/>
      <c r="XK41" s="27"/>
      <c r="XL41" s="27"/>
      <c r="XM41" s="27"/>
      <c r="XN41" s="27"/>
      <c r="XO41" s="27"/>
      <c r="XP41" s="27"/>
      <c r="XQ41" s="27"/>
      <c r="XR41" s="27"/>
      <c r="XS41" s="27"/>
      <c r="XT41" s="27"/>
      <c r="XU41" s="27"/>
      <c r="XV41" s="27"/>
      <c r="XW41" s="27"/>
      <c r="XX41" s="27"/>
      <c r="XY41" s="27"/>
      <c r="XZ41" s="27"/>
      <c r="YA41" s="27"/>
      <c r="YB41" s="27"/>
      <c r="YC41" s="27"/>
      <c r="YD41" s="27"/>
      <c r="YE41" s="27"/>
      <c r="YF41" s="27"/>
      <c r="YG41" s="27"/>
      <c r="YH41" s="27"/>
      <c r="YI41" s="27"/>
      <c r="YJ41" s="27"/>
      <c r="YK41" s="27"/>
      <c r="YL41" s="27"/>
      <c r="YM41" s="27"/>
      <c r="YN41" s="27"/>
      <c r="YO41" s="27"/>
      <c r="YP41" s="27"/>
      <c r="YQ41" s="27"/>
      <c r="YR41" s="27"/>
      <c r="YS41" s="27"/>
      <c r="YT41" s="27"/>
      <c r="YU41" s="27"/>
      <c r="YV41" s="27"/>
      <c r="YW41" s="27"/>
      <c r="YX41" s="27"/>
      <c r="YY41" s="27"/>
      <c r="YZ41" s="27"/>
      <c r="ZA41" s="27"/>
      <c r="ZB41" s="27"/>
      <c r="ZC41" s="27"/>
      <c r="ZD41" s="27"/>
      <c r="ZE41" s="27"/>
      <c r="ZF41" s="27"/>
      <c r="ZG41" s="27"/>
      <c r="ZH41" s="27"/>
      <c r="ZI41" s="27"/>
      <c r="ZJ41" s="27"/>
      <c r="ZK41" s="27"/>
      <c r="ZL41" s="27"/>
      <c r="ZM41" s="27"/>
      <c r="ZN41" s="27"/>
      <c r="ZO41" s="27"/>
      <c r="ZP41" s="27"/>
      <c r="ZQ41" s="27"/>
      <c r="ZR41" s="27"/>
      <c r="ZS41" s="27"/>
      <c r="ZT41" s="27"/>
      <c r="ZU41" s="27"/>
      <c r="ZV41" s="27"/>
      <c r="ZW41" s="27"/>
      <c r="ZX41" s="27"/>
      <c r="ZY41" s="27"/>
      <c r="ZZ41" s="27"/>
      <c r="AAA41" s="27"/>
      <c r="AAB41" s="27"/>
      <c r="AAC41" s="27"/>
      <c r="AAD41" s="27"/>
      <c r="AAE41" s="27"/>
      <c r="AAF41" s="27"/>
      <c r="AAG41" s="27"/>
      <c r="AAH41" s="27"/>
      <c r="AAI41" s="27"/>
      <c r="AAJ41" s="27"/>
      <c r="AAK41" s="27"/>
      <c r="AAL41" s="27"/>
      <c r="AAM41" s="27"/>
      <c r="AAN41" s="27"/>
      <c r="AAO41" s="27"/>
      <c r="AAP41" s="27"/>
      <c r="AAQ41" s="27"/>
      <c r="AAR41" s="27"/>
      <c r="AAS41" s="27"/>
      <c r="AAT41" s="27"/>
      <c r="AAU41" s="27"/>
      <c r="AAV41" s="27"/>
      <c r="AAW41" s="27"/>
      <c r="AAX41" s="27"/>
      <c r="AAY41" s="27"/>
      <c r="AAZ41" s="27"/>
      <c r="ABA41" s="27"/>
      <c r="ABB41" s="27"/>
      <c r="ABC41" s="27"/>
      <c r="ABD41" s="27"/>
      <c r="ABE41" s="27"/>
      <c r="ABF41" s="27"/>
      <c r="ABG41" s="27"/>
      <c r="ABH41" s="27"/>
      <c r="ABI41" s="27"/>
      <c r="ABJ41" s="27"/>
      <c r="ABK41" s="27"/>
      <c r="ABL41" s="27"/>
      <c r="ABM41" s="27"/>
      <c r="ABN41" s="27"/>
      <c r="ABO41" s="27"/>
      <c r="ABP41" s="27"/>
      <c r="ABQ41" s="27"/>
      <c r="ABR41" s="27"/>
      <c r="ABS41" s="27"/>
      <c r="ABT41" s="27"/>
      <c r="ABU41" s="27"/>
      <c r="ABV41" s="27"/>
      <c r="ABW41" s="27"/>
      <c r="ABX41" s="27"/>
      <c r="ABY41" s="27"/>
      <c r="ABZ41" s="27"/>
      <c r="ACA41" s="27"/>
      <c r="ACB41" s="27"/>
      <c r="ACC41" s="27"/>
      <c r="ACD41" s="27"/>
      <c r="ACE41" s="27"/>
      <c r="ACF41" s="27"/>
      <c r="ACG41" s="27"/>
      <c r="ACH41" s="27"/>
      <c r="ACI41" s="27"/>
      <c r="ACJ41" s="27"/>
      <c r="ACK41" s="27"/>
      <c r="ACL41" s="27"/>
      <c r="ACM41" s="27"/>
      <c r="ACN41" s="27"/>
      <c r="ACO41" s="27"/>
      <c r="ACP41" s="27"/>
      <c r="ACQ41" s="27"/>
      <c r="ACR41" s="27"/>
      <c r="ACS41" s="27"/>
      <c r="ACT41" s="27"/>
      <c r="ACU41" s="27"/>
      <c r="ACV41" s="27"/>
      <c r="ACW41" s="27"/>
      <c r="ACX41" s="27"/>
      <c r="ACY41" s="27"/>
      <c r="ACZ41" s="27"/>
      <c r="ADA41" s="27"/>
      <c r="ADB41" s="27"/>
      <c r="ADC41" s="27"/>
      <c r="ADD41" s="27"/>
      <c r="ADE41" s="27"/>
      <c r="ADF41" s="27"/>
      <c r="ADG41" s="27"/>
      <c r="ADH41" s="27"/>
      <c r="ADI41" s="27"/>
      <c r="ADJ41" s="27"/>
      <c r="ADK41" s="27"/>
      <c r="ADL41" s="27"/>
      <c r="ADM41" s="27"/>
      <c r="ADN41" s="27"/>
      <c r="ADO41" s="27"/>
      <c r="ADP41" s="27"/>
      <c r="ADQ41" s="27"/>
      <c r="ADR41" s="27"/>
      <c r="ADS41" s="27"/>
      <c r="ADT41" s="27"/>
      <c r="ADU41" s="27"/>
      <c r="ADV41" s="27"/>
      <c r="ADW41" s="27"/>
      <c r="ADX41" s="27"/>
      <c r="ADY41" s="27"/>
      <c r="ADZ41" s="27"/>
      <c r="AEA41" s="27"/>
      <c r="AEB41" s="27"/>
      <c r="AEC41" s="27"/>
      <c r="AED41" s="27"/>
      <c r="AEE41" s="27"/>
      <c r="AEF41" s="27"/>
      <c r="AEG41" s="27"/>
      <c r="AEH41" s="27"/>
      <c r="AEI41" s="27"/>
      <c r="AEJ41" s="27"/>
      <c r="AEK41" s="27"/>
      <c r="AEL41" s="27"/>
      <c r="AEM41" s="27"/>
      <c r="AEN41" s="27"/>
      <c r="AEO41" s="27"/>
      <c r="AEP41" s="27"/>
      <c r="AEQ41" s="27"/>
      <c r="AER41" s="27"/>
      <c r="AES41" s="27"/>
      <c r="AET41" s="27"/>
      <c r="AEU41" s="27"/>
      <c r="AEV41" s="27"/>
      <c r="AEW41" s="27"/>
      <c r="AEX41" s="27"/>
      <c r="AEY41" s="27"/>
      <c r="AEZ41" s="27"/>
      <c r="AFA41" s="27"/>
      <c r="AFB41" s="27"/>
      <c r="AFC41" s="27"/>
      <c r="AFD41" s="27"/>
      <c r="AFE41" s="27"/>
      <c r="AFF41" s="27"/>
      <c r="AFG41" s="27"/>
      <c r="AFH41" s="27"/>
      <c r="AFI41" s="27"/>
      <c r="AFJ41" s="27"/>
      <c r="AFK41" s="27"/>
      <c r="AFL41" s="27"/>
      <c r="AFM41" s="27"/>
      <c r="AFN41" s="27"/>
      <c r="AFO41" s="27"/>
      <c r="AFP41" s="27"/>
      <c r="AFQ41" s="27"/>
      <c r="AFR41" s="27"/>
      <c r="AFS41" s="27"/>
      <c r="AFT41" s="27"/>
      <c r="AFU41" s="27"/>
      <c r="AFV41" s="27"/>
      <c r="AFW41" s="27"/>
      <c r="AFX41" s="27"/>
      <c r="AFY41" s="27"/>
      <c r="AFZ41" s="27"/>
      <c r="AGA41" s="27"/>
      <c r="AGB41" s="27"/>
      <c r="AGC41" s="27"/>
      <c r="AGD41" s="27"/>
      <c r="AGE41" s="27"/>
      <c r="AGF41" s="27"/>
      <c r="AGG41" s="27"/>
      <c r="AGH41" s="27"/>
      <c r="AGI41" s="27"/>
      <c r="AGJ41" s="27"/>
      <c r="AGK41" s="27"/>
      <c r="AGL41" s="27"/>
      <c r="AGM41" s="27"/>
      <c r="AGN41" s="27"/>
      <c r="AGO41" s="27"/>
      <c r="AGP41" s="27"/>
      <c r="AGQ41" s="27"/>
      <c r="AGR41" s="27"/>
      <c r="AGS41" s="27"/>
      <c r="AGT41" s="27"/>
      <c r="AGU41" s="27"/>
      <c r="AGV41" s="27"/>
      <c r="AGW41" s="27"/>
      <c r="AGX41" s="27"/>
      <c r="AGY41" s="27"/>
      <c r="AGZ41" s="27"/>
      <c r="AHA41" s="27"/>
      <c r="AHB41" s="27"/>
      <c r="AHC41" s="27"/>
      <c r="AHD41" s="27"/>
      <c r="AHE41" s="27"/>
      <c r="AHF41" s="27"/>
      <c r="AHG41" s="27"/>
      <c r="AHH41" s="27"/>
      <c r="AHI41" s="27"/>
      <c r="AHJ41" s="27"/>
      <c r="AHK41" s="27"/>
      <c r="AHL41" s="27"/>
      <c r="AHM41" s="27"/>
      <c r="AHN41" s="27"/>
      <c r="AHO41" s="27"/>
      <c r="AHP41" s="27"/>
      <c r="AHQ41" s="27"/>
      <c r="AHR41" s="27"/>
      <c r="AHS41" s="27"/>
      <c r="AHT41" s="27"/>
      <c r="AHU41" s="27"/>
      <c r="AHV41" s="27"/>
      <c r="AHW41" s="27"/>
      <c r="AHX41" s="27"/>
      <c r="AHY41" s="27"/>
      <c r="AHZ41" s="27"/>
      <c r="AIA41" s="27"/>
      <c r="AIB41" s="27"/>
      <c r="AIC41" s="27"/>
      <c r="AID41" s="27"/>
      <c r="AIE41" s="27"/>
      <c r="AIF41" s="27"/>
      <c r="AIG41" s="27"/>
      <c r="AIH41" s="27"/>
      <c r="AII41" s="27"/>
      <c r="AIJ41" s="27"/>
      <c r="AIK41" s="27"/>
      <c r="AIL41" s="27"/>
      <c r="AIM41" s="27"/>
      <c r="AIN41" s="27"/>
      <c r="AIO41" s="27"/>
      <c r="AIP41" s="27"/>
      <c r="AIQ41" s="27"/>
      <c r="AIR41" s="27"/>
      <c r="AIS41" s="27"/>
      <c r="AIT41" s="27"/>
      <c r="AIU41" s="27"/>
      <c r="AIV41" s="27"/>
      <c r="AIW41" s="27"/>
      <c r="AIX41" s="27"/>
      <c r="AIY41" s="27"/>
      <c r="AIZ41" s="27"/>
      <c r="AJA41" s="27"/>
      <c r="AJB41" s="27"/>
      <c r="AJC41" s="27"/>
      <c r="AJD41" s="27"/>
      <c r="AJE41" s="27"/>
      <c r="AJF41" s="27"/>
      <c r="AJG41" s="27"/>
      <c r="AJH41" s="27"/>
      <c r="AJI41" s="27"/>
      <c r="AJJ41" s="27"/>
      <c r="AJK41" s="27"/>
      <c r="AJL41" s="27"/>
      <c r="AJM41" s="27"/>
      <c r="AJN41" s="27"/>
      <c r="AJO41" s="27"/>
      <c r="AJP41" s="27"/>
      <c r="AJQ41" s="27"/>
      <c r="AJR41" s="27"/>
      <c r="AJS41" s="27"/>
      <c r="AJT41" s="27"/>
      <c r="AJU41" s="27"/>
      <c r="AJV41" s="27"/>
      <c r="AJW41" s="27"/>
      <c r="AJX41" s="27"/>
      <c r="AJY41" s="27"/>
      <c r="AJZ41" s="27"/>
      <c r="AKA41" s="27"/>
      <c r="AKB41" s="27"/>
      <c r="AKC41" s="27"/>
      <c r="AKD41" s="27"/>
      <c r="AKE41" s="27"/>
      <c r="AKF41" s="27"/>
      <c r="AKG41" s="27"/>
      <c r="AKH41" s="27"/>
      <c r="AKI41" s="27"/>
      <c r="AKJ41" s="27"/>
      <c r="AKK41" s="27"/>
      <c r="AKL41" s="27"/>
      <c r="AKM41" s="27"/>
      <c r="AKN41" s="27"/>
      <c r="AKO41" s="27"/>
      <c r="AKP41" s="27"/>
      <c r="AKQ41" s="27"/>
      <c r="AKR41" s="27"/>
      <c r="AKS41" s="27"/>
      <c r="AKT41" s="27"/>
      <c r="AKU41" s="27"/>
      <c r="AKV41" s="27"/>
      <c r="AKW41" s="27"/>
      <c r="AKX41" s="27"/>
      <c r="AKY41" s="27"/>
      <c r="AKZ41" s="27"/>
      <c r="ALA41" s="27"/>
      <c r="ALB41" s="27"/>
      <c r="ALC41" s="27"/>
      <c r="ALD41" s="27"/>
      <c r="ALE41" s="27"/>
      <c r="ALF41" s="27"/>
      <c r="ALG41" s="27"/>
      <c r="ALH41" s="27"/>
      <c r="ALI41" s="27"/>
      <c r="ALJ41" s="27"/>
      <c r="ALK41" s="27"/>
      <c r="ALL41" s="27"/>
      <c r="ALM41" s="27"/>
      <c r="ALN41" s="27"/>
      <c r="ALO41" s="27"/>
      <c r="ALP41" s="27"/>
      <c r="ALQ41" s="27"/>
      <c r="ALR41" s="27"/>
      <c r="ALS41" s="27"/>
      <c r="ALT41" s="27"/>
      <c r="ALU41" s="27"/>
      <c r="ALV41" s="27"/>
      <c r="ALW41" s="27"/>
      <c r="ALX41" s="27"/>
      <c r="ALY41" s="27"/>
      <c r="ALZ41" s="27"/>
      <c r="AMA41" s="27"/>
      <c r="AMB41" s="27"/>
      <c r="AMC41" s="27"/>
      <c r="AMD41" s="27"/>
      <c r="AME41" s="27"/>
      <c r="AMF41" s="27"/>
      <c r="AMG41" s="27"/>
      <c r="AMH41" s="27"/>
      <c r="AMI41" s="27"/>
      <c r="AMJ41" s="27"/>
      <c r="AMK41" s="27"/>
    </row>
    <row r="42" spans="1:1025" ht="15" customHeight="1">
      <c r="A42" s="28" t="s">
        <v>15</v>
      </c>
      <c r="B42" s="116"/>
      <c r="C42" s="45" t="s">
        <v>112</v>
      </c>
      <c r="D42" s="45" t="s">
        <v>113</v>
      </c>
      <c r="E42" s="39">
        <v>1</v>
      </c>
      <c r="F42" s="91" t="b">
        <v>0</v>
      </c>
      <c r="G42" s="40">
        <v>2</v>
      </c>
      <c r="H42" s="40">
        <v>2.91</v>
      </c>
      <c r="I42" s="39" t="s">
        <v>63</v>
      </c>
      <c r="J42" s="39" t="s">
        <v>64</v>
      </c>
      <c r="K42" s="40">
        <f t="shared" si="6"/>
        <v>2.2999999999999998</v>
      </c>
      <c r="L42" s="40">
        <f t="shared" si="6"/>
        <v>3.21</v>
      </c>
      <c r="M42" s="33"/>
      <c r="N42" s="34"/>
      <c r="O42" s="74"/>
      <c r="P42" s="73"/>
      <c r="Q42" s="16"/>
      <c r="R42" s="46"/>
      <c r="S42" s="50"/>
      <c r="T42" s="48"/>
      <c r="U42" s="48"/>
      <c r="V42" s="113"/>
      <c r="W42" s="46"/>
      <c r="X42" s="49"/>
      <c r="Y42" s="49"/>
      <c r="Z42" s="49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7"/>
      <c r="ZB42" s="27"/>
      <c r="ZC42" s="27"/>
      <c r="ZD42" s="27"/>
      <c r="ZE42" s="27"/>
      <c r="ZF42" s="27"/>
      <c r="ZG42" s="27"/>
      <c r="ZH42" s="27"/>
      <c r="ZI42" s="27"/>
      <c r="ZJ42" s="27"/>
      <c r="ZK42" s="27"/>
      <c r="ZL42" s="27"/>
      <c r="ZM42" s="27"/>
      <c r="ZN42" s="27"/>
      <c r="ZO42" s="27"/>
      <c r="ZP42" s="27"/>
      <c r="ZQ42" s="27"/>
      <c r="ZR42" s="27"/>
      <c r="ZS42" s="27"/>
      <c r="ZT42" s="27"/>
      <c r="ZU42" s="27"/>
      <c r="ZV42" s="27"/>
      <c r="ZW42" s="27"/>
      <c r="ZX42" s="27"/>
      <c r="ZY42" s="27"/>
      <c r="ZZ42" s="27"/>
      <c r="AAA42" s="27"/>
      <c r="AAB42" s="27"/>
      <c r="AAC42" s="27"/>
      <c r="AAD42" s="27"/>
      <c r="AAE42" s="27"/>
      <c r="AAF42" s="27"/>
      <c r="AAG42" s="27"/>
      <c r="AAH42" s="27"/>
      <c r="AAI42" s="27"/>
      <c r="AAJ42" s="27"/>
      <c r="AAK42" s="27"/>
      <c r="AAL42" s="27"/>
      <c r="AAM42" s="27"/>
      <c r="AAN42" s="27"/>
      <c r="AAO42" s="27"/>
      <c r="AAP42" s="27"/>
      <c r="AAQ42" s="27"/>
      <c r="AAR42" s="27"/>
      <c r="AAS42" s="27"/>
      <c r="AAT42" s="27"/>
      <c r="AAU42" s="27"/>
      <c r="AAV42" s="27"/>
      <c r="AAW42" s="27"/>
      <c r="AAX42" s="27"/>
      <c r="AAY42" s="27"/>
      <c r="AAZ42" s="27"/>
      <c r="ABA42" s="27"/>
      <c r="ABB42" s="27"/>
      <c r="ABC42" s="27"/>
      <c r="ABD42" s="27"/>
      <c r="ABE42" s="27"/>
      <c r="ABF42" s="27"/>
      <c r="ABG42" s="27"/>
      <c r="ABH42" s="27"/>
      <c r="ABI42" s="27"/>
      <c r="ABJ42" s="27"/>
      <c r="ABK42" s="27"/>
      <c r="ABL42" s="27"/>
      <c r="ABM42" s="27"/>
      <c r="ABN42" s="27"/>
      <c r="ABO42" s="27"/>
      <c r="ABP42" s="27"/>
      <c r="ABQ42" s="27"/>
      <c r="ABR42" s="27"/>
      <c r="ABS42" s="27"/>
      <c r="ABT42" s="27"/>
      <c r="ABU42" s="27"/>
      <c r="ABV42" s="27"/>
      <c r="ABW42" s="27"/>
      <c r="ABX42" s="27"/>
      <c r="ABY42" s="27"/>
      <c r="ABZ42" s="27"/>
      <c r="ACA42" s="27"/>
      <c r="ACB42" s="27"/>
      <c r="ACC42" s="27"/>
      <c r="ACD42" s="27"/>
      <c r="ACE42" s="27"/>
      <c r="ACF42" s="27"/>
      <c r="ACG42" s="27"/>
      <c r="ACH42" s="27"/>
      <c r="ACI42" s="27"/>
      <c r="ACJ42" s="27"/>
      <c r="ACK42" s="27"/>
      <c r="ACL42" s="27"/>
      <c r="ACM42" s="27"/>
      <c r="ACN42" s="27"/>
      <c r="ACO42" s="27"/>
      <c r="ACP42" s="27"/>
      <c r="ACQ42" s="27"/>
      <c r="ACR42" s="27"/>
      <c r="ACS42" s="27"/>
      <c r="ACT42" s="27"/>
      <c r="ACU42" s="27"/>
      <c r="ACV42" s="27"/>
      <c r="ACW42" s="27"/>
      <c r="ACX42" s="27"/>
      <c r="ACY42" s="27"/>
      <c r="ACZ42" s="27"/>
      <c r="ADA42" s="27"/>
      <c r="ADB42" s="27"/>
      <c r="ADC42" s="27"/>
      <c r="ADD42" s="27"/>
      <c r="ADE42" s="27"/>
      <c r="ADF42" s="27"/>
      <c r="ADG42" s="27"/>
      <c r="ADH42" s="27"/>
      <c r="ADI42" s="27"/>
      <c r="ADJ42" s="27"/>
      <c r="ADK42" s="27"/>
      <c r="ADL42" s="27"/>
      <c r="ADM42" s="27"/>
      <c r="ADN42" s="27"/>
      <c r="ADO42" s="27"/>
      <c r="ADP42" s="27"/>
      <c r="ADQ42" s="27"/>
      <c r="ADR42" s="27"/>
      <c r="ADS42" s="27"/>
      <c r="ADT42" s="27"/>
      <c r="ADU42" s="27"/>
      <c r="ADV42" s="27"/>
      <c r="ADW42" s="27"/>
      <c r="ADX42" s="27"/>
      <c r="ADY42" s="27"/>
      <c r="ADZ42" s="27"/>
      <c r="AEA42" s="27"/>
      <c r="AEB42" s="27"/>
      <c r="AEC42" s="27"/>
      <c r="AED42" s="27"/>
      <c r="AEE42" s="27"/>
      <c r="AEF42" s="27"/>
      <c r="AEG42" s="27"/>
      <c r="AEH42" s="27"/>
      <c r="AEI42" s="27"/>
      <c r="AEJ42" s="27"/>
      <c r="AEK42" s="27"/>
      <c r="AEL42" s="27"/>
      <c r="AEM42" s="27"/>
      <c r="AEN42" s="27"/>
      <c r="AEO42" s="27"/>
      <c r="AEP42" s="27"/>
      <c r="AEQ42" s="27"/>
      <c r="AER42" s="27"/>
      <c r="AES42" s="27"/>
      <c r="AET42" s="27"/>
      <c r="AEU42" s="27"/>
      <c r="AEV42" s="27"/>
      <c r="AEW42" s="27"/>
      <c r="AEX42" s="27"/>
      <c r="AEY42" s="27"/>
      <c r="AEZ42" s="27"/>
      <c r="AFA42" s="27"/>
      <c r="AFB42" s="27"/>
      <c r="AFC42" s="27"/>
      <c r="AFD42" s="27"/>
      <c r="AFE42" s="27"/>
      <c r="AFF42" s="27"/>
      <c r="AFG42" s="27"/>
      <c r="AFH42" s="27"/>
      <c r="AFI42" s="27"/>
      <c r="AFJ42" s="27"/>
      <c r="AFK42" s="27"/>
      <c r="AFL42" s="27"/>
      <c r="AFM42" s="27"/>
      <c r="AFN42" s="27"/>
      <c r="AFO42" s="27"/>
      <c r="AFP42" s="27"/>
      <c r="AFQ42" s="27"/>
      <c r="AFR42" s="27"/>
      <c r="AFS42" s="27"/>
      <c r="AFT42" s="27"/>
      <c r="AFU42" s="27"/>
      <c r="AFV42" s="27"/>
      <c r="AFW42" s="27"/>
      <c r="AFX42" s="27"/>
      <c r="AFY42" s="27"/>
      <c r="AFZ42" s="27"/>
      <c r="AGA42" s="27"/>
      <c r="AGB42" s="27"/>
      <c r="AGC42" s="27"/>
      <c r="AGD42" s="27"/>
      <c r="AGE42" s="27"/>
      <c r="AGF42" s="27"/>
      <c r="AGG42" s="27"/>
      <c r="AGH42" s="27"/>
      <c r="AGI42" s="27"/>
      <c r="AGJ42" s="27"/>
      <c r="AGK42" s="27"/>
      <c r="AGL42" s="27"/>
      <c r="AGM42" s="27"/>
      <c r="AGN42" s="27"/>
      <c r="AGO42" s="27"/>
      <c r="AGP42" s="27"/>
      <c r="AGQ42" s="27"/>
      <c r="AGR42" s="27"/>
      <c r="AGS42" s="27"/>
      <c r="AGT42" s="27"/>
      <c r="AGU42" s="27"/>
      <c r="AGV42" s="27"/>
      <c r="AGW42" s="27"/>
      <c r="AGX42" s="27"/>
      <c r="AGY42" s="27"/>
      <c r="AGZ42" s="27"/>
      <c r="AHA42" s="27"/>
      <c r="AHB42" s="27"/>
      <c r="AHC42" s="27"/>
      <c r="AHD42" s="27"/>
      <c r="AHE42" s="27"/>
      <c r="AHF42" s="27"/>
      <c r="AHG42" s="27"/>
      <c r="AHH42" s="27"/>
      <c r="AHI42" s="27"/>
      <c r="AHJ42" s="27"/>
      <c r="AHK42" s="27"/>
      <c r="AHL42" s="27"/>
      <c r="AHM42" s="27"/>
      <c r="AHN42" s="27"/>
      <c r="AHO42" s="27"/>
      <c r="AHP42" s="27"/>
      <c r="AHQ42" s="27"/>
      <c r="AHR42" s="27"/>
      <c r="AHS42" s="27"/>
      <c r="AHT42" s="27"/>
      <c r="AHU42" s="27"/>
      <c r="AHV42" s="27"/>
      <c r="AHW42" s="27"/>
      <c r="AHX42" s="27"/>
      <c r="AHY42" s="27"/>
      <c r="AHZ42" s="27"/>
      <c r="AIA42" s="27"/>
      <c r="AIB42" s="27"/>
      <c r="AIC42" s="27"/>
      <c r="AID42" s="27"/>
      <c r="AIE42" s="27"/>
      <c r="AIF42" s="27"/>
      <c r="AIG42" s="27"/>
      <c r="AIH42" s="27"/>
      <c r="AII42" s="27"/>
      <c r="AIJ42" s="27"/>
      <c r="AIK42" s="27"/>
      <c r="AIL42" s="27"/>
      <c r="AIM42" s="27"/>
      <c r="AIN42" s="27"/>
      <c r="AIO42" s="27"/>
      <c r="AIP42" s="27"/>
      <c r="AIQ42" s="27"/>
      <c r="AIR42" s="27"/>
      <c r="AIS42" s="27"/>
      <c r="AIT42" s="27"/>
      <c r="AIU42" s="27"/>
      <c r="AIV42" s="27"/>
      <c r="AIW42" s="27"/>
      <c r="AIX42" s="27"/>
      <c r="AIY42" s="27"/>
      <c r="AIZ42" s="27"/>
      <c r="AJA42" s="27"/>
      <c r="AJB42" s="27"/>
      <c r="AJC42" s="27"/>
      <c r="AJD42" s="27"/>
      <c r="AJE42" s="27"/>
      <c r="AJF42" s="27"/>
      <c r="AJG42" s="27"/>
      <c r="AJH42" s="27"/>
      <c r="AJI42" s="27"/>
      <c r="AJJ42" s="27"/>
      <c r="AJK42" s="27"/>
      <c r="AJL42" s="27"/>
      <c r="AJM42" s="27"/>
      <c r="AJN42" s="27"/>
      <c r="AJO42" s="27"/>
      <c r="AJP42" s="27"/>
      <c r="AJQ42" s="27"/>
      <c r="AJR42" s="27"/>
      <c r="AJS42" s="27"/>
      <c r="AJT42" s="27"/>
      <c r="AJU42" s="27"/>
      <c r="AJV42" s="27"/>
      <c r="AJW42" s="27"/>
      <c r="AJX42" s="27"/>
      <c r="AJY42" s="27"/>
      <c r="AJZ42" s="27"/>
      <c r="AKA42" s="27"/>
      <c r="AKB42" s="27"/>
      <c r="AKC42" s="27"/>
      <c r="AKD42" s="27"/>
      <c r="AKE42" s="27"/>
      <c r="AKF42" s="27"/>
      <c r="AKG42" s="27"/>
      <c r="AKH42" s="27"/>
      <c r="AKI42" s="27"/>
      <c r="AKJ42" s="27"/>
      <c r="AKK42" s="27"/>
      <c r="AKL42" s="27"/>
      <c r="AKM42" s="27"/>
      <c r="AKN42" s="27"/>
      <c r="AKO42" s="27"/>
      <c r="AKP42" s="27"/>
      <c r="AKQ42" s="27"/>
      <c r="AKR42" s="27"/>
      <c r="AKS42" s="27"/>
      <c r="AKT42" s="27"/>
      <c r="AKU42" s="27"/>
      <c r="AKV42" s="27"/>
      <c r="AKW42" s="27"/>
      <c r="AKX42" s="27"/>
      <c r="AKY42" s="27"/>
      <c r="AKZ42" s="27"/>
      <c r="ALA42" s="27"/>
      <c r="ALB42" s="27"/>
      <c r="ALC42" s="27"/>
      <c r="ALD42" s="27"/>
      <c r="ALE42" s="27"/>
      <c r="ALF42" s="27"/>
      <c r="ALG42" s="27"/>
      <c r="ALH42" s="27"/>
      <c r="ALI42" s="27"/>
      <c r="ALJ42" s="27"/>
      <c r="ALK42" s="27"/>
      <c r="ALL42" s="27"/>
      <c r="ALM42" s="27"/>
      <c r="ALN42" s="27"/>
      <c r="ALO42" s="27"/>
      <c r="ALP42" s="27"/>
      <c r="ALQ42" s="27"/>
      <c r="ALR42" s="27"/>
      <c r="ALS42" s="27"/>
      <c r="ALT42" s="27"/>
      <c r="ALU42" s="27"/>
      <c r="ALV42" s="27"/>
      <c r="ALW42" s="27"/>
      <c r="ALX42" s="27"/>
      <c r="ALY42" s="27"/>
      <c r="ALZ42" s="27"/>
      <c r="AMA42" s="27"/>
      <c r="AMB42" s="27"/>
      <c r="AMC42" s="27"/>
      <c r="AMD42" s="27"/>
      <c r="AME42" s="27"/>
      <c r="AMF42" s="27"/>
      <c r="AMG42" s="27"/>
      <c r="AMH42" s="27"/>
      <c r="AMI42" s="27"/>
      <c r="AMJ42" s="27"/>
      <c r="AMK42" s="27"/>
    </row>
    <row r="43" spans="1:1025" ht="15" customHeight="1">
      <c r="A43" s="28" t="s">
        <v>15</v>
      </c>
      <c r="B43" s="116"/>
      <c r="C43" s="45" t="s">
        <v>114</v>
      </c>
      <c r="D43" s="45" t="s">
        <v>115</v>
      </c>
      <c r="E43" s="39">
        <v>1</v>
      </c>
      <c r="F43" s="91" t="b">
        <v>0</v>
      </c>
      <c r="G43" s="40">
        <v>1.24</v>
      </c>
      <c r="H43" s="40">
        <v>1.53</v>
      </c>
      <c r="I43" s="39" t="s">
        <v>73</v>
      </c>
      <c r="J43" s="39" t="s">
        <v>64</v>
      </c>
      <c r="K43" s="40">
        <f>G43+0.1</f>
        <v>1.34</v>
      </c>
      <c r="L43" s="40">
        <f>H43+0.1</f>
        <v>1.6300000000000001</v>
      </c>
      <c r="M43" s="33"/>
      <c r="N43" s="34"/>
      <c r="O43" s="74" t="s">
        <v>21</v>
      </c>
      <c r="P43" s="73" t="s">
        <v>22</v>
      </c>
      <c r="Q43" s="16"/>
      <c r="R43" s="46"/>
      <c r="S43" s="50"/>
      <c r="T43" s="48"/>
      <c r="U43" s="48"/>
      <c r="V43" s="113"/>
      <c r="W43" s="46"/>
      <c r="X43" s="49"/>
      <c r="Y43" s="49"/>
      <c r="Z43" s="49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  <c r="UU43" s="27"/>
      <c r="UV43" s="27"/>
      <c r="UW43" s="27"/>
      <c r="UX43" s="27"/>
      <c r="UY43" s="27"/>
      <c r="UZ43" s="27"/>
      <c r="VA43" s="27"/>
      <c r="VB43" s="27"/>
      <c r="VC43" s="27"/>
      <c r="VD43" s="27"/>
      <c r="VE43" s="27"/>
      <c r="VF43" s="27"/>
      <c r="VG43" s="27"/>
      <c r="VH43" s="27"/>
      <c r="VI43" s="27"/>
      <c r="VJ43" s="27"/>
      <c r="VK43" s="27"/>
      <c r="VL43" s="27"/>
      <c r="VM43" s="27"/>
      <c r="VN43" s="27"/>
      <c r="VO43" s="27"/>
      <c r="VP43" s="27"/>
      <c r="VQ43" s="27"/>
      <c r="VR43" s="27"/>
      <c r="VS43" s="27"/>
      <c r="VT43" s="27"/>
      <c r="VU43" s="27"/>
      <c r="VV43" s="27"/>
      <c r="VW43" s="27"/>
      <c r="VX43" s="27"/>
      <c r="VY43" s="27"/>
      <c r="VZ43" s="27"/>
      <c r="WA43" s="27"/>
      <c r="WB43" s="27"/>
      <c r="WC43" s="27"/>
      <c r="WD43" s="27"/>
      <c r="WE43" s="27"/>
      <c r="WF43" s="27"/>
      <c r="WG43" s="27"/>
      <c r="WH43" s="27"/>
      <c r="WI43" s="27"/>
      <c r="WJ43" s="27"/>
      <c r="WK43" s="27"/>
      <c r="WL43" s="27"/>
      <c r="WM43" s="27"/>
      <c r="WN43" s="27"/>
      <c r="WO43" s="27"/>
      <c r="WP43" s="27"/>
      <c r="WQ43" s="27"/>
      <c r="WR43" s="27"/>
      <c r="WS43" s="27"/>
      <c r="WT43" s="27"/>
      <c r="WU43" s="27"/>
      <c r="WV43" s="27"/>
      <c r="WW43" s="27"/>
      <c r="WX43" s="27"/>
      <c r="WY43" s="27"/>
      <c r="WZ43" s="27"/>
      <c r="XA43" s="27"/>
      <c r="XB43" s="27"/>
      <c r="XC43" s="27"/>
      <c r="XD43" s="27"/>
      <c r="XE43" s="27"/>
      <c r="XF43" s="27"/>
      <c r="XG43" s="27"/>
      <c r="XH43" s="27"/>
      <c r="XI43" s="27"/>
      <c r="XJ43" s="27"/>
      <c r="XK43" s="27"/>
      <c r="XL43" s="27"/>
      <c r="XM43" s="27"/>
      <c r="XN43" s="27"/>
      <c r="XO43" s="27"/>
      <c r="XP43" s="27"/>
      <c r="XQ43" s="27"/>
      <c r="XR43" s="27"/>
      <c r="XS43" s="27"/>
      <c r="XT43" s="27"/>
      <c r="XU43" s="27"/>
      <c r="XV43" s="27"/>
      <c r="XW43" s="27"/>
      <c r="XX43" s="27"/>
      <c r="XY43" s="27"/>
      <c r="XZ43" s="27"/>
      <c r="YA43" s="27"/>
      <c r="YB43" s="27"/>
      <c r="YC43" s="27"/>
      <c r="YD43" s="27"/>
      <c r="YE43" s="27"/>
      <c r="YF43" s="27"/>
      <c r="YG43" s="27"/>
      <c r="YH43" s="27"/>
      <c r="YI43" s="27"/>
      <c r="YJ43" s="27"/>
      <c r="YK43" s="27"/>
      <c r="YL43" s="27"/>
      <c r="YM43" s="27"/>
      <c r="YN43" s="27"/>
      <c r="YO43" s="27"/>
      <c r="YP43" s="27"/>
      <c r="YQ43" s="27"/>
      <c r="YR43" s="27"/>
      <c r="YS43" s="27"/>
      <c r="YT43" s="27"/>
      <c r="YU43" s="27"/>
      <c r="YV43" s="27"/>
      <c r="YW43" s="27"/>
      <c r="YX43" s="27"/>
      <c r="YY43" s="27"/>
      <c r="YZ43" s="27"/>
      <c r="ZA43" s="27"/>
      <c r="ZB43" s="27"/>
      <c r="ZC43" s="27"/>
      <c r="ZD43" s="27"/>
      <c r="ZE43" s="27"/>
      <c r="ZF43" s="27"/>
      <c r="ZG43" s="27"/>
      <c r="ZH43" s="27"/>
      <c r="ZI43" s="27"/>
      <c r="ZJ43" s="27"/>
      <c r="ZK43" s="27"/>
      <c r="ZL43" s="27"/>
      <c r="ZM43" s="27"/>
      <c r="ZN43" s="27"/>
      <c r="ZO43" s="27"/>
      <c r="ZP43" s="27"/>
      <c r="ZQ43" s="27"/>
      <c r="ZR43" s="27"/>
      <c r="ZS43" s="27"/>
      <c r="ZT43" s="27"/>
      <c r="ZU43" s="27"/>
      <c r="ZV43" s="27"/>
      <c r="ZW43" s="27"/>
      <c r="ZX43" s="27"/>
      <c r="ZY43" s="27"/>
      <c r="ZZ43" s="27"/>
      <c r="AAA43" s="27"/>
      <c r="AAB43" s="27"/>
      <c r="AAC43" s="27"/>
      <c r="AAD43" s="27"/>
      <c r="AAE43" s="27"/>
      <c r="AAF43" s="27"/>
      <c r="AAG43" s="27"/>
      <c r="AAH43" s="27"/>
      <c r="AAI43" s="27"/>
      <c r="AAJ43" s="27"/>
      <c r="AAK43" s="27"/>
      <c r="AAL43" s="27"/>
      <c r="AAM43" s="27"/>
      <c r="AAN43" s="27"/>
      <c r="AAO43" s="27"/>
      <c r="AAP43" s="27"/>
      <c r="AAQ43" s="27"/>
      <c r="AAR43" s="27"/>
      <c r="AAS43" s="27"/>
      <c r="AAT43" s="27"/>
      <c r="AAU43" s="27"/>
      <c r="AAV43" s="27"/>
      <c r="AAW43" s="27"/>
      <c r="AAX43" s="27"/>
      <c r="AAY43" s="27"/>
      <c r="AAZ43" s="27"/>
      <c r="ABA43" s="27"/>
      <c r="ABB43" s="27"/>
      <c r="ABC43" s="27"/>
      <c r="ABD43" s="27"/>
      <c r="ABE43" s="27"/>
      <c r="ABF43" s="27"/>
      <c r="ABG43" s="27"/>
      <c r="ABH43" s="27"/>
      <c r="ABI43" s="27"/>
      <c r="ABJ43" s="27"/>
      <c r="ABK43" s="27"/>
      <c r="ABL43" s="27"/>
      <c r="ABM43" s="27"/>
      <c r="ABN43" s="27"/>
      <c r="ABO43" s="27"/>
      <c r="ABP43" s="27"/>
      <c r="ABQ43" s="27"/>
      <c r="ABR43" s="27"/>
      <c r="ABS43" s="27"/>
      <c r="ABT43" s="27"/>
      <c r="ABU43" s="27"/>
      <c r="ABV43" s="27"/>
      <c r="ABW43" s="27"/>
      <c r="ABX43" s="27"/>
      <c r="ABY43" s="27"/>
      <c r="ABZ43" s="27"/>
      <c r="ACA43" s="27"/>
      <c r="ACB43" s="27"/>
      <c r="ACC43" s="27"/>
      <c r="ACD43" s="27"/>
      <c r="ACE43" s="27"/>
      <c r="ACF43" s="27"/>
      <c r="ACG43" s="27"/>
      <c r="ACH43" s="27"/>
      <c r="ACI43" s="27"/>
      <c r="ACJ43" s="27"/>
      <c r="ACK43" s="27"/>
      <c r="ACL43" s="27"/>
      <c r="ACM43" s="27"/>
      <c r="ACN43" s="27"/>
      <c r="ACO43" s="27"/>
      <c r="ACP43" s="27"/>
      <c r="ACQ43" s="27"/>
      <c r="ACR43" s="27"/>
      <c r="ACS43" s="27"/>
      <c r="ACT43" s="27"/>
      <c r="ACU43" s="27"/>
      <c r="ACV43" s="27"/>
      <c r="ACW43" s="27"/>
      <c r="ACX43" s="27"/>
      <c r="ACY43" s="27"/>
      <c r="ACZ43" s="27"/>
      <c r="ADA43" s="27"/>
      <c r="ADB43" s="27"/>
      <c r="ADC43" s="27"/>
      <c r="ADD43" s="27"/>
      <c r="ADE43" s="27"/>
      <c r="ADF43" s="27"/>
      <c r="ADG43" s="27"/>
      <c r="ADH43" s="27"/>
      <c r="ADI43" s="27"/>
      <c r="ADJ43" s="27"/>
      <c r="ADK43" s="27"/>
      <c r="ADL43" s="27"/>
      <c r="ADM43" s="27"/>
      <c r="ADN43" s="27"/>
      <c r="ADO43" s="27"/>
      <c r="ADP43" s="27"/>
      <c r="ADQ43" s="27"/>
      <c r="ADR43" s="27"/>
      <c r="ADS43" s="27"/>
      <c r="ADT43" s="27"/>
      <c r="ADU43" s="27"/>
      <c r="ADV43" s="27"/>
      <c r="ADW43" s="27"/>
      <c r="ADX43" s="27"/>
      <c r="ADY43" s="27"/>
      <c r="ADZ43" s="27"/>
      <c r="AEA43" s="27"/>
      <c r="AEB43" s="27"/>
      <c r="AEC43" s="27"/>
      <c r="AED43" s="27"/>
      <c r="AEE43" s="27"/>
      <c r="AEF43" s="27"/>
      <c r="AEG43" s="27"/>
      <c r="AEH43" s="27"/>
      <c r="AEI43" s="27"/>
      <c r="AEJ43" s="27"/>
      <c r="AEK43" s="27"/>
      <c r="AEL43" s="27"/>
      <c r="AEM43" s="27"/>
      <c r="AEN43" s="27"/>
      <c r="AEO43" s="27"/>
      <c r="AEP43" s="27"/>
      <c r="AEQ43" s="27"/>
      <c r="AER43" s="27"/>
      <c r="AES43" s="27"/>
      <c r="AET43" s="27"/>
      <c r="AEU43" s="27"/>
      <c r="AEV43" s="27"/>
      <c r="AEW43" s="27"/>
      <c r="AEX43" s="27"/>
      <c r="AEY43" s="27"/>
      <c r="AEZ43" s="27"/>
      <c r="AFA43" s="27"/>
      <c r="AFB43" s="27"/>
      <c r="AFC43" s="27"/>
      <c r="AFD43" s="27"/>
      <c r="AFE43" s="27"/>
      <c r="AFF43" s="27"/>
      <c r="AFG43" s="27"/>
      <c r="AFH43" s="27"/>
      <c r="AFI43" s="27"/>
      <c r="AFJ43" s="27"/>
      <c r="AFK43" s="27"/>
      <c r="AFL43" s="27"/>
      <c r="AFM43" s="27"/>
      <c r="AFN43" s="27"/>
      <c r="AFO43" s="27"/>
      <c r="AFP43" s="27"/>
      <c r="AFQ43" s="27"/>
      <c r="AFR43" s="27"/>
      <c r="AFS43" s="27"/>
      <c r="AFT43" s="27"/>
      <c r="AFU43" s="27"/>
      <c r="AFV43" s="27"/>
      <c r="AFW43" s="27"/>
      <c r="AFX43" s="27"/>
      <c r="AFY43" s="27"/>
      <c r="AFZ43" s="27"/>
      <c r="AGA43" s="27"/>
      <c r="AGB43" s="27"/>
      <c r="AGC43" s="27"/>
      <c r="AGD43" s="27"/>
      <c r="AGE43" s="27"/>
      <c r="AGF43" s="27"/>
      <c r="AGG43" s="27"/>
      <c r="AGH43" s="27"/>
      <c r="AGI43" s="27"/>
      <c r="AGJ43" s="27"/>
      <c r="AGK43" s="27"/>
      <c r="AGL43" s="27"/>
      <c r="AGM43" s="27"/>
      <c r="AGN43" s="27"/>
      <c r="AGO43" s="27"/>
      <c r="AGP43" s="27"/>
      <c r="AGQ43" s="27"/>
      <c r="AGR43" s="27"/>
      <c r="AGS43" s="27"/>
      <c r="AGT43" s="27"/>
      <c r="AGU43" s="27"/>
      <c r="AGV43" s="27"/>
      <c r="AGW43" s="27"/>
      <c r="AGX43" s="27"/>
      <c r="AGY43" s="27"/>
      <c r="AGZ43" s="27"/>
      <c r="AHA43" s="27"/>
      <c r="AHB43" s="27"/>
      <c r="AHC43" s="27"/>
      <c r="AHD43" s="27"/>
      <c r="AHE43" s="27"/>
      <c r="AHF43" s="27"/>
      <c r="AHG43" s="27"/>
      <c r="AHH43" s="27"/>
      <c r="AHI43" s="27"/>
      <c r="AHJ43" s="27"/>
      <c r="AHK43" s="27"/>
      <c r="AHL43" s="27"/>
      <c r="AHM43" s="27"/>
      <c r="AHN43" s="27"/>
      <c r="AHO43" s="27"/>
      <c r="AHP43" s="27"/>
      <c r="AHQ43" s="27"/>
      <c r="AHR43" s="27"/>
      <c r="AHS43" s="27"/>
      <c r="AHT43" s="27"/>
      <c r="AHU43" s="27"/>
      <c r="AHV43" s="27"/>
      <c r="AHW43" s="27"/>
      <c r="AHX43" s="27"/>
      <c r="AHY43" s="27"/>
      <c r="AHZ43" s="27"/>
      <c r="AIA43" s="27"/>
      <c r="AIB43" s="27"/>
      <c r="AIC43" s="27"/>
      <c r="AID43" s="27"/>
      <c r="AIE43" s="27"/>
      <c r="AIF43" s="27"/>
      <c r="AIG43" s="27"/>
      <c r="AIH43" s="27"/>
      <c r="AII43" s="27"/>
      <c r="AIJ43" s="27"/>
      <c r="AIK43" s="27"/>
      <c r="AIL43" s="27"/>
      <c r="AIM43" s="27"/>
      <c r="AIN43" s="27"/>
      <c r="AIO43" s="27"/>
      <c r="AIP43" s="27"/>
      <c r="AIQ43" s="27"/>
      <c r="AIR43" s="27"/>
      <c r="AIS43" s="27"/>
      <c r="AIT43" s="27"/>
      <c r="AIU43" s="27"/>
      <c r="AIV43" s="27"/>
      <c r="AIW43" s="27"/>
      <c r="AIX43" s="27"/>
      <c r="AIY43" s="27"/>
      <c r="AIZ43" s="27"/>
      <c r="AJA43" s="27"/>
      <c r="AJB43" s="27"/>
      <c r="AJC43" s="27"/>
      <c r="AJD43" s="27"/>
      <c r="AJE43" s="27"/>
      <c r="AJF43" s="27"/>
      <c r="AJG43" s="27"/>
      <c r="AJH43" s="27"/>
      <c r="AJI43" s="27"/>
      <c r="AJJ43" s="27"/>
      <c r="AJK43" s="27"/>
      <c r="AJL43" s="27"/>
      <c r="AJM43" s="27"/>
      <c r="AJN43" s="27"/>
      <c r="AJO43" s="27"/>
      <c r="AJP43" s="27"/>
      <c r="AJQ43" s="27"/>
      <c r="AJR43" s="27"/>
      <c r="AJS43" s="27"/>
      <c r="AJT43" s="27"/>
      <c r="AJU43" s="27"/>
      <c r="AJV43" s="27"/>
      <c r="AJW43" s="27"/>
      <c r="AJX43" s="27"/>
      <c r="AJY43" s="27"/>
      <c r="AJZ43" s="27"/>
      <c r="AKA43" s="27"/>
      <c r="AKB43" s="27"/>
      <c r="AKC43" s="27"/>
      <c r="AKD43" s="27"/>
      <c r="AKE43" s="27"/>
      <c r="AKF43" s="27"/>
      <c r="AKG43" s="27"/>
      <c r="AKH43" s="27"/>
      <c r="AKI43" s="27"/>
      <c r="AKJ43" s="27"/>
      <c r="AKK43" s="27"/>
      <c r="AKL43" s="27"/>
      <c r="AKM43" s="27"/>
      <c r="AKN43" s="27"/>
      <c r="AKO43" s="27"/>
      <c r="AKP43" s="27"/>
      <c r="AKQ43" s="27"/>
      <c r="AKR43" s="27"/>
      <c r="AKS43" s="27"/>
      <c r="AKT43" s="27"/>
      <c r="AKU43" s="27"/>
      <c r="AKV43" s="27"/>
      <c r="AKW43" s="27"/>
      <c r="AKX43" s="27"/>
      <c r="AKY43" s="27"/>
      <c r="AKZ43" s="27"/>
      <c r="ALA43" s="27"/>
      <c r="ALB43" s="27"/>
      <c r="ALC43" s="27"/>
      <c r="ALD43" s="27"/>
      <c r="ALE43" s="27"/>
      <c r="ALF43" s="27"/>
      <c r="ALG43" s="27"/>
      <c r="ALH43" s="27"/>
      <c r="ALI43" s="27"/>
      <c r="ALJ43" s="27"/>
      <c r="ALK43" s="27"/>
      <c r="ALL43" s="27"/>
      <c r="ALM43" s="27"/>
      <c r="ALN43" s="27"/>
      <c r="ALO43" s="27"/>
      <c r="ALP43" s="27"/>
      <c r="ALQ43" s="27"/>
      <c r="ALR43" s="27"/>
      <c r="ALS43" s="27"/>
      <c r="ALT43" s="27"/>
      <c r="ALU43" s="27"/>
      <c r="ALV43" s="27"/>
      <c r="ALW43" s="27"/>
      <c r="ALX43" s="27"/>
      <c r="ALY43" s="27"/>
      <c r="ALZ43" s="27"/>
      <c r="AMA43" s="27"/>
      <c r="AMB43" s="27"/>
      <c r="AMC43" s="27"/>
      <c r="AMD43" s="27"/>
      <c r="AME43" s="27"/>
      <c r="AMF43" s="27"/>
      <c r="AMG43" s="27"/>
      <c r="AMH43" s="27"/>
      <c r="AMI43" s="27"/>
      <c r="AMJ43" s="27"/>
      <c r="AMK43" s="27"/>
    </row>
    <row r="44" spans="1:1025" ht="15" customHeight="1">
      <c r="A44" s="28" t="s">
        <v>15</v>
      </c>
      <c r="B44" s="116"/>
      <c r="C44" s="45" t="s">
        <v>116</v>
      </c>
      <c r="D44" s="45" t="s">
        <v>117</v>
      </c>
      <c r="E44" s="39">
        <v>1</v>
      </c>
      <c r="F44" s="91" t="b">
        <v>0</v>
      </c>
      <c r="G44" s="40">
        <v>1.23</v>
      </c>
      <c r="H44" s="40">
        <v>1.46</v>
      </c>
      <c r="I44" s="39" t="s">
        <v>73</v>
      </c>
      <c r="J44" s="39" t="s">
        <v>64</v>
      </c>
      <c r="K44" s="40">
        <f t="shared" ref="K44:L46" si="7">G44+0.1</f>
        <v>1.33</v>
      </c>
      <c r="L44" s="40">
        <f t="shared" si="7"/>
        <v>1.56</v>
      </c>
      <c r="M44" s="33"/>
      <c r="N44" s="34"/>
      <c r="O44" s="74" t="s">
        <v>21</v>
      </c>
      <c r="P44" s="73" t="s">
        <v>22</v>
      </c>
      <c r="Q44" s="16"/>
      <c r="R44" s="46"/>
      <c r="S44" s="50"/>
      <c r="T44" s="48"/>
      <c r="U44" s="48"/>
      <c r="V44" s="113"/>
      <c r="W44" s="46"/>
      <c r="X44" s="49"/>
      <c r="Y44" s="49"/>
      <c r="Z44" s="49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  <c r="UU44" s="27"/>
      <c r="UV44" s="27"/>
      <c r="UW44" s="27"/>
      <c r="UX44" s="27"/>
      <c r="UY44" s="27"/>
      <c r="UZ44" s="27"/>
      <c r="VA44" s="27"/>
      <c r="VB44" s="27"/>
      <c r="VC44" s="27"/>
      <c r="VD44" s="27"/>
      <c r="VE44" s="27"/>
      <c r="VF44" s="27"/>
      <c r="VG44" s="27"/>
      <c r="VH44" s="27"/>
      <c r="VI44" s="27"/>
      <c r="VJ44" s="27"/>
      <c r="VK44" s="27"/>
      <c r="VL44" s="27"/>
      <c r="VM44" s="27"/>
      <c r="VN44" s="27"/>
      <c r="VO44" s="27"/>
      <c r="VP44" s="27"/>
      <c r="VQ44" s="27"/>
      <c r="VR44" s="27"/>
      <c r="VS44" s="27"/>
      <c r="VT44" s="27"/>
      <c r="VU44" s="27"/>
      <c r="VV44" s="27"/>
      <c r="VW44" s="27"/>
      <c r="VX44" s="27"/>
      <c r="VY44" s="27"/>
      <c r="VZ44" s="27"/>
      <c r="WA44" s="27"/>
      <c r="WB44" s="27"/>
      <c r="WC44" s="27"/>
      <c r="WD44" s="27"/>
      <c r="WE44" s="27"/>
      <c r="WF44" s="27"/>
      <c r="WG44" s="27"/>
      <c r="WH44" s="27"/>
      <c r="WI44" s="27"/>
      <c r="WJ44" s="27"/>
      <c r="WK44" s="27"/>
      <c r="WL44" s="27"/>
      <c r="WM44" s="27"/>
      <c r="WN44" s="27"/>
      <c r="WO44" s="27"/>
      <c r="WP44" s="27"/>
      <c r="WQ44" s="27"/>
      <c r="WR44" s="27"/>
      <c r="WS44" s="27"/>
      <c r="WT44" s="27"/>
      <c r="WU44" s="27"/>
      <c r="WV44" s="27"/>
      <c r="WW44" s="27"/>
      <c r="WX44" s="27"/>
      <c r="WY44" s="27"/>
      <c r="WZ44" s="27"/>
      <c r="XA44" s="27"/>
      <c r="XB44" s="27"/>
      <c r="XC44" s="27"/>
      <c r="XD44" s="27"/>
      <c r="XE44" s="27"/>
      <c r="XF44" s="27"/>
      <c r="XG44" s="27"/>
      <c r="XH44" s="27"/>
      <c r="XI44" s="27"/>
      <c r="XJ44" s="27"/>
      <c r="XK44" s="27"/>
      <c r="XL44" s="27"/>
      <c r="XM44" s="27"/>
      <c r="XN44" s="27"/>
      <c r="XO44" s="27"/>
      <c r="XP44" s="27"/>
      <c r="XQ44" s="27"/>
      <c r="XR44" s="27"/>
      <c r="XS44" s="27"/>
      <c r="XT44" s="27"/>
      <c r="XU44" s="27"/>
      <c r="XV44" s="27"/>
      <c r="XW44" s="27"/>
      <c r="XX44" s="27"/>
      <c r="XY44" s="27"/>
      <c r="XZ44" s="27"/>
      <c r="YA44" s="27"/>
      <c r="YB44" s="27"/>
      <c r="YC44" s="27"/>
      <c r="YD44" s="27"/>
      <c r="YE44" s="27"/>
      <c r="YF44" s="27"/>
      <c r="YG44" s="27"/>
      <c r="YH44" s="27"/>
      <c r="YI44" s="27"/>
      <c r="YJ44" s="27"/>
      <c r="YK44" s="27"/>
      <c r="YL44" s="27"/>
      <c r="YM44" s="27"/>
      <c r="YN44" s="27"/>
      <c r="YO44" s="27"/>
      <c r="YP44" s="27"/>
      <c r="YQ44" s="27"/>
      <c r="YR44" s="27"/>
      <c r="YS44" s="27"/>
      <c r="YT44" s="27"/>
      <c r="YU44" s="27"/>
      <c r="YV44" s="27"/>
      <c r="YW44" s="27"/>
      <c r="YX44" s="27"/>
      <c r="YY44" s="27"/>
      <c r="YZ44" s="27"/>
      <c r="ZA44" s="27"/>
      <c r="ZB44" s="27"/>
      <c r="ZC44" s="27"/>
      <c r="ZD44" s="27"/>
      <c r="ZE44" s="27"/>
      <c r="ZF44" s="27"/>
      <c r="ZG44" s="27"/>
      <c r="ZH44" s="27"/>
      <c r="ZI44" s="27"/>
      <c r="ZJ44" s="27"/>
      <c r="ZK44" s="27"/>
      <c r="ZL44" s="27"/>
      <c r="ZM44" s="27"/>
      <c r="ZN44" s="27"/>
      <c r="ZO44" s="27"/>
      <c r="ZP44" s="27"/>
      <c r="ZQ44" s="27"/>
      <c r="ZR44" s="27"/>
      <c r="ZS44" s="27"/>
      <c r="ZT44" s="27"/>
      <c r="ZU44" s="27"/>
      <c r="ZV44" s="27"/>
      <c r="ZW44" s="27"/>
      <c r="ZX44" s="27"/>
      <c r="ZY44" s="27"/>
      <c r="ZZ44" s="27"/>
      <c r="AAA44" s="27"/>
      <c r="AAB44" s="27"/>
      <c r="AAC44" s="27"/>
      <c r="AAD44" s="27"/>
      <c r="AAE44" s="27"/>
      <c r="AAF44" s="27"/>
      <c r="AAG44" s="27"/>
      <c r="AAH44" s="27"/>
      <c r="AAI44" s="27"/>
      <c r="AAJ44" s="27"/>
      <c r="AAK44" s="27"/>
      <c r="AAL44" s="27"/>
      <c r="AAM44" s="27"/>
      <c r="AAN44" s="27"/>
      <c r="AAO44" s="27"/>
      <c r="AAP44" s="27"/>
      <c r="AAQ44" s="27"/>
      <c r="AAR44" s="27"/>
      <c r="AAS44" s="27"/>
      <c r="AAT44" s="27"/>
      <c r="AAU44" s="27"/>
      <c r="AAV44" s="27"/>
      <c r="AAW44" s="27"/>
      <c r="AAX44" s="27"/>
      <c r="AAY44" s="27"/>
      <c r="AAZ44" s="27"/>
      <c r="ABA44" s="27"/>
      <c r="ABB44" s="27"/>
      <c r="ABC44" s="27"/>
      <c r="ABD44" s="27"/>
      <c r="ABE44" s="27"/>
      <c r="ABF44" s="27"/>
      <c r="ABG44" s="27"/>
      <c r="ABH44" s="27"/>
      <c r="ABI44" s="27"/>
      <c r="ABJ44" s="27"/>
      <c r="ABK44" s="27"/>
      <c r="ABL44" s="27"/>
      <c r="ABM44" s="27"/>
      <c r="ABN44" s="27"/>
      <c r="ABO44" s="27"/>
      <c r="ABP44" s="27"/>
      <c r="ABQ44" s="27"/>
      <c r="ABR44" s="27"/>
      <c r="ABS44" s="27"/>
      <c r="ABT44" s="27"/>
      <c r="ABU44" s="27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7"/>
      <c r="ACL44" s="27"/>
      <c r="ACM44" s="27"/>
      <c r="ACN44" s="27"/>
      <c r="ACO44" s="27"/>
      <c r="ACP44" s="27"/>
      <c r="ACQ44" s="27"/>
      <c r="ACR44" s="27"/>
      <c r="ACS44" s="27"/>
      <c r="ACT44" s="27"/>
      <c r="ACU44" s="27"/>
      <c r="ACV44" s="27"/>
      <c r="ACW44" s="27"/>
      <c r="ACX44" s="27"/>
      <c r="ACY44" s="27"/>
      <c r="ACZ44" s="27"/>
      <c r="ADA44" s="27"/>
      <c r="ADB44" s="27"/>
      <c r="ADC44" s="27"/>
      <c r="ADD44" s="27"/>
      <c r="ADE44" s="27"/>
      <c r="ADF44" s="27"/>
      <c r="ADG44" s="27"/>
      <c r="ADH44" s="27"/>
      <c r="ADI44" s="27"/>
      <c r="ADJ44" s="27"/>
      <c r="ADK44" s="27"/>
      <c r="ADL44" s="27"/>
      <c r="ADM44" s="27"/>
      <c r="ADN44" s="27"/>
      <c r="ADO44" s="27"/>
      <c r="ADP44" s="27"/>
      <c r="ADQ44" s="27"/>
      <c r="ADR44" s="27"/>
      <c r="ADS44" s="27"/>
      <c r="ADT44" s="27"/>
      <c r="ADU44" s="27"/>
      <c r="ADV44" s="27"/>
      <c r="ADW44" s="27"/>
      <c r="ADX44" s="27"/>
      <c r="ADY44" s="27"/>
      <c r="ADZ44" s="27"/>
      <c r="AEA44" s="27"/>
      <c r="AEB44" s="27"/>
      <c r="AEC44" s="27"/>
      <c r="AED44" s="27"/>
      <c r="AEE44" s="27"/>
      <c r="AEF44" s="27"/>
      <c r="AEG44" s="27"/>
      <c r="AEH44" s="27"/>
      <c r="AEI44" s="27"/>
      <c r="AEJ44" s="27"/>
      <c r="AEK44" s="27"/>
      <c r="AEL44" s="27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7"/>
      <c r="AFB44" s="27"/>
      <c r="AFC44" s="27"/>
      <c r="AFD44" s="27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7"/>
      <c r="AFS44" s="27"/>
      <c r="AFT44" s="27"/>
      <c r="AFU44" s="27"/>
      <c r="AFV44" s="27"/>
      <c r="AFW44" s="27"/>
      <c r="AFX44" s="27"/>
      <c r="AFY44" s="27"/>
      <c r="AFZ44" s="27"/>
      <c r="AGA44" s="27"/>
      <c r="AGB44" s="27"/>
      <c r="AGC44" s="27"/>
      <c r="AGD44" s="27"/>
      <c r="AGE44" s="27"/>
      <c r="AGF44" s="27"/>
      <c r="AGG44" s="27"/>
      <c r="AGH44" s="27"/>
      <c r="AGI44" s="27"/>
      <c r="AGJ44" s="27"/>
      <c r="AGK44" s="27"/>
      <c r="AGL44" s="27"/>
      <c r="AGM44" s="27"/>
      <c r="AGN44" s="27"/>
      <c r="AGO44" s="27"/>
      <c r="AGP44" s="27"/>
      <c r="AGQ44" s="27"/>
      <c r="AGR44" s="27"/>
      <c r="AGS44" s="27"/>
      <c r="AGT44" s="27"/>
      <c r="AGU44" s="27"/>
      <c r="AGV44" s="27"/>
      <c r="AGW44" s="27"/>
      <c r="AGX44" s="27"/>
      <c r="AGY44" s="27"/>
      <c r="AGZ44" s="27"/>
      <c r="AHA44" s="27"/>
      <c r="AHB44" s="27"/>
      <c r="AHC44" s="27"/>
      <c r="AHD44" s="27"/>
      <c r="AHE44" s="27"/>
      <c r="AHF44" s="27"/>
      <c r="AHG44" s="27"/>
      <c r="AHH44" s="27"/>
      <c r="AHI44" s="27"/>
      <c r="AHJ44" s="27"/>
      <c r="AHK44" s="27"/>
      <c r="AHL44" s="27"/>
      <c r="AHM44" s="27"/>
      <c r="AHN44" s="27"/>
      <c r="AHO44" s="27"/>
      <c r="AHP44" s="27"/>
      <c r="AHQ44" s="27"/>
      <c r="AHR44" s="27"/>
      <c r="AHS44" s="27"/>
      <c r="AHT44" s="27"/>
      <c r="AHU44" s="27"/>
      <c r="AHV44" s="27"/>
      <c r="AHW44" s="27"/>
      <c r="AHX44" s="27"/>
      <c r="AHY44" s="27"/>
      <c r="AHZ44" s="27"/>
      <c r="AIA44" s="27"/>
      <c r="AIB44" s="27"/>
      <c r="AIC44" s="27"/>
      <c r="AID44" s="27"/>
      <c r="AIE44" s="27"/>
      <c r="AIF44" s="27"/>
      <c r="AIG44" s="27"/>
      <c r="AIH44" s="27"/>
      <c r="AII44" s="27"/>
      <c r="AIJ44" s="27"/>
      <c r="AIK44" s="27"/>
      <c r="AIL44" s="27"/>
      <c r="AIM44" s="27"/>
      <c r="AIN44" s="27"/>
      <c r="AIO44" s="27"/>
      <c r="AIP44" s="27"/>
      <c r="AIQ44" s="27"/>
      <c r="AIR44" s="27"/>
      <c r="AIS44" s="27"/>
      <c r="AIT44" s="27"/>
      <c r="AIU44" s="27"/>
      <c r="AIV44" s="27"/>
      <c r="AIW44" s="27"/>
      <c r="AIX44" s="27"/>
      <c r="AIY44" s="27"/>
      <c r="AIZ44" s="27"/>
      <c r="AJA44" s="27"/>
      <c r="AJB44" s="27"/>
      <c r="AJC44" s="27"/>
      <c r="AJD44" s="27"/>
      <c r="AJE44" s="27"/>
      <c r="AJF44" s="27"/>
      <c r="AJG44" s="27"/>
      <c r="AJH44" s="27"/>
      <c r="AJI44" s="27"/>
      <c r="AJJ44" s="27"/>
      <c r="AJK44" s="27"/>
      <c r="AJL44" s="27"/>
      <c r="AJM44" s="27"/>
      <c r="AJN44" s="27"/>
      <c r="AJO44" s="27"/>
      <c r="AJP44" s="27"/>
      <c r="AJQ44" s="27"/>
      <c r="AJR44" s="27"/>
      <c r="AJS44" s="27"/>
      <c r="AJT44" s="27"/>
      <c r="AJU44" s="27"/>
      <c r="AJV44" s="27"/>
      <c r="AJW44" s="27"/>
      <c r="AJX44" s="27"/>
      <c r="AJY44" s="27"/>
      <c r="AJZ44" s="27"/>
      <c r="AKA44" s="27"/>
      <c r="AKB44" s="27"/>
      <c r="AKC44" s="27"/>
      <c r="AKD44" s="27"/>
      <c r="AKE44" s="27"/>
      <c r="AKF44" s="27"/>
      <c r="AKG44" s="27"/>
      <c r="AKH44" s="27"/>
      <c r="AKI44" s="27"/>
      <c r="AKJ44" s="27"/>
      <c r="AKK44" s="27"/>
      <c r="AKL44" s="27"/>
      <c r="AKM44" s="27"/>
      <c r="AKN44" s="27"/>
      <c r="AKO44" s="27"/>
      <c r="AKP44" s="27"/>
      <c r="AKQ44" s="27"/>
      <c r="AKR44" s="27"/>
      <c r="AKS44" s="27"/>
      <c r="AKT44" s="27"/>
      <c r="AKU44" s="27"/>
      <c r="AKV44" s="27"/>
      <c r="AKW44" s="27"/>
      <c r="AKX44" s="27"/>
      <c r="AKY44" s="27"/>
      <c r="AKZ44" s="27"/>
      <c r="ALA44" s="27"/>
      <c r="ALB44" s="27"/>
      <c r="ALC44" s="27"/>
      <c r="ALD44" s="27"/>
      <c r="ALE44" s="27"/>
      <c r="ALF44" s="27"/>
      <c r="ALG44" s="27"/>
      <c r="ALH44" s="27"/>
      <c r="ALI44" s="27"/>
      <c r="ALJ44" s="27"/>
      <c r="ALK44" s="27"/>
      <c r="ALL44" s="27"/>
      <c r="ALM44" s="27"/>
      <c r="ALN44" s="27"/>
      <c r="ALO44" s="27"/>
      <c r="ALP44" s="27"/>
      <c r="ALQ44" s="27"/>
      <c r="ALR44" s="27"/>
      <c r="ALS44" s="27"/>
      <c r="ALT44" s="27"/>
      <c r="ALU44" s="27"/>
      <c r="ALV44" s="27"/>
      <c r="ALW44" s="27"/>
      <c r="ALX44" s="27"/>
      <c r="ALY44" s="27"/>
      <c r="ALZ44" s="27"/>
      <c r="AMA44" s="27"/>
      <c r="AMB44" s="27"/>
      <c r="AMC44" s="27"/>
      <c r="AMD44" s="27"/>
      <c r="AME44" s="27"/>
      <c r="AMF44" s="27"/>
      <c r="AMG44" s="27"/>
      <c r="AMH44" s="27"/>
      <c r="AMI44" s="27"/>
      <c r="AMJ44" s="27"/>
      <c r="AMK44" s="27"/>
    </row>
    <row r="45" spans="1:1025" ht="15" customHeight="1">
      <c r="A45" s="28" t="s">
        <v>15</v>
      </c>
      <c r="B45" s="116"/>
      <c r="C45" s="45" t="s">
        <v>118</v>
      </c>
      <c r="D45" s="45" t="s">
        <v>119</v>
      </c>
      <c r="E45" s="39">
        <v>1</v>
      </c>
      <c r="F45" s="91" t="b">
        <v>0</v>
      </c>
      <c r="G45" s="40">
        <v>1.25</v>
      </c>
      <c r="H45" s="40">
        <v>1.43</v>
      </c>
      <c r="I45" s="39" t="s">
        <v>73</v>
      </c>
      <c r="J45" s="39" t="s">
        <v>64</v>
      </c>
      <c r="K45" s="40">
        <f t="shared" si="7"/>
        <v>1.35</v>
      </c>
      <c r="L45" s="40">
        <f t="shared" si="7"/>
        <v>1.53</v>
      </c>
      <c r="M45" s="33"/>
      <c r="N45" s="34"/>
      <c r="O45" s="74" t="s">
        <v>21</v>
      </c>
      <c r="P45" s="73" t="s">
        <v>22</v>
      </c>
      <c r="Q45" s="16"/>
      <c r="R45" s="46"/>
      <c r="S45" s="50"/>
      <c r="T45" s="48"/>
      <c r="U45" s="48"/>
      <c r="V45" s="113"/>
      <c r="W45" s="46"/>
      <c r="X45" s="49"/>
      <c r="Y45" s="49"/>
      <c r="Z45" s="49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  <c r="UU45" s="27"/>
      <c r="UV45" s="27"/>
      <c r="UW45" s="27"/>
      <c r="UX45" s="27"/>
      <c r="UY45" s="27"/>
      <c r="UZ45" s="27"/>
      <c r="VA45" s="27"/>
      <c r="VB45" s="27"/>
      <c r="VC45" s="27"/>
      <c r="VD45" s="27"/>
      <c r="VE45" s="27"/>
      <c r="VF45" s="27"/>
      <c r="VG45" s="27"/>
      <c r="VH45" s="27"/>
      <c r="VI45" s="27"/>
      <c r="VJ45" s="27"/>
      <c r="VK45" s="27"/>
      <c r="VL45" s="27"/>
      <c r="VM45" s="27"/>
      <c r="VN45" s="27"/>
      <c r="VO45" s="27"/>
      <c r="VP45" s="27"/>
      <c r="VQ45" s="27"/>
      <c r="VR45" s="27"/>
      <c r="VS45" s="27"/>
      <c r="VT45" s="27"/>
      <c r="VU45" s="27"/>
      <c r="VV45" s="27"/>
      <c r="VW45" s="27"/>
      <c r="VX45" s="27"/>
      <c r="VY45" s="27"/>
      <c r="VZ45" s="27"/>
      <c r="WA45" s="27"/>
      <c r="WB45" s="27"/>
      <c r="WC45" s="27"/>
      <c r="WD45" s="27"/>
      <c r="WE45" s="27"/>
      <c r="WF45" s="27"/>
      <c r="WG45" s="27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27"/>
      <c r="XW45" s="27"/>
      <c r="XX45" s="27"/>
      <c r="XY45" s="27"/>
      <c r="XZ45" s="27"/>
      <c r="YA45" s="27"/>
      <c r="YB45" s="27"/>
      <c r="YC45" s="27"/>
      <c r="YD45" s="27"/>
      <c r="YE45" s="27"/>
      <c r="YF45" s="27"/>
      <c r="YG45" s="27"/>
      <c r="YH45" s="27"/>
      <c r="YI45" s="27"/>
      <c r="YJ45" s="27"/>
      <c r="YK45" s="27"/>
      <c r="YL45" s="27"/>
      <c r="YM45" s="27"/>
      <c r="YN45" s="27"/>
      <c r="YO45" s="27"/>
      <c r="YP45" s="27"/>
      <c r="YQ45" s="27"/>
      <c r="YR45" s="27"/>
      <c r="YS45" s="27"/>
      <c r="YT45" s="27"/>
      <c r="YU45" s="27"/>
      <c r="YV45" s="27"/>
      <c r="YW45" s="27"/>
      <c r="YX45" s="27"/>
      <c r="YY45" s="27"/>
      <c r="YZ45" s="27"/>
      <c r="ZA45" s="27"/>
      <c r="ZB45" s="27"/>
      <c r="ZC45" s="27"/>
      <c r="ZD45" s="27"/>
      <c r="ZE45" s="27"/>
      <c r="ZF45" s="27"/>
      <c r="ZG45" s="27"/>
      <c r="ZH45" s="27"/>
      <c r="ZI45" s="27"/>
      <c r="ZJ45" s="27"/>
      <c r="ZK45" s="27"/>
      <c r="ZL45" s="27"/>
      <c r="ZM45" s="27"/>
      <c r="ZN45" s="27"/>
      <c r="ZO45" s="27"/>
      <c r="ZP45" s="27"/>
      <c r="ZQ45" s="27"/>
      <c r="ZR45" s="27"/>
      <c r="ZS45" s="27"/>
      <c r="ZT45" s="27"/>
      <c r="ZU45" s="27"/>
      <c r="ZV45" s="27"/>
      <c r="ZW45" s="27"/>
      <c r="ZX45" s="27"/>
      <c r="ZY45" s="27"/>
      <c r="ZZ45" s="27"/>
      <c r="AAA45" s="27"/>
      <c r="AAB45" s="27"/>
      <c r="AAC45" s="27"/>
      <c r="AAD45" s="27"/>
      <c r="AAE45" s="27"/>
      <c r="AAF45" s="27"/>
      <c r="AAG45" s="27"/>
      <c r="AAH45" s="27"/>
      <c r="AAI45" s="27"/>
      <c r="AAJ45" s="27"/>
      <c r="AAK45" s="27"/>
      <c r="AAL45" s="27"/>
      <c r="AAM45" s="27"/>
      <c r="AAN45" s="27"/>
      <c r="AAO45" s="27"/>
      <c r="AAP45" s="27"/>
      <c r="AAQ45" s="27"/>
      <c r="AAR45" s="27"/>
      <c r="AAS45" s="27"/>
      <c r="AAT45" s="27"/>
      <c r="AAU45" s="27"/>
      <c r="AAV45" s="27"/>
      <c r="AAW45" s="27"/>
      <c r="AAX45" s="27"/>
      <c r="AAY45" s="27"/>
      <c r="AAZ45" s="27"/>
      <c r="ABA45" s="27"/>
      <c r="ABB45" s="27"/>
      <c r="ABC45" s="27"/>
      <c r="ABD45" s="27"/>
      <c r="ABE45" s="27"/>
      <c r="ABF45" s="27"/>
      <c r="ABG45" s="27"/>
      <c r="ABH45" s="27"/>
      <c r="ABI45" s="27"/>
      <c r="ABJ45" s="27"/>
      <c r="ABK45" s="27"/>
      <c r="ABL45" s="27"/>
      <c r="ABM45" s="27"/>
      <c r="ABN45" s="27"/>
      <c r="ABO45" s="27"/>
      <c r="ABP45" s="27"/>
      <c r="ABQ45" s="27"/>
      <c r="ABR45" s="27"/>
      <c r="ABS45" s="27"/>
      <c r="ABT45" s="27"/>
      <c r="ABU45" s="27"/>
      <c r="ABV45" s="27"/>
      <c r="ABW45" s="27"/>
      <c r="ABX45" s="27"/>
      <c r="ABY45" s="27"/>
      <c r="ABZ45" s="27"/>
      <c r="ACA45" s="27"/>
      <c r="ACB45" s="27"/>
      <c r="ACC45" s="27"/>
      <c r="ACD45" s="27"/>
      <c r="ACE45" s="27"/>
      <c r="ACF45" s="27"/>
      <c r="ACG45" s="27"/>
      <c r="ACH45" s="27"/>
      <c r="ACI45" s="27"/>
      <c r="ACJ45" s="27"/>
      <c r="ACK45" s="27"/>
      <c r="ACL45" s="27"/>
      <c r="ACM45" s="27"/>
      <c r="ACN45" s="27"/>
      <c r="ACO45" s="27"/>
      <c r="ACP45" s="27"/>
      <c r="ACQ45" s="27"/>
      <c r="ACR45" s="27"/>
      <c r="ACS45" s="27"/>
      <c r="ACT45" s="27"/>
      <c r="ACU45" s="27"/>
      <c r="ACV45" s="27"/>
      <c r="ACW45" s="27"/>
      <c r="ACX45" s="27"/>
      <c r="ACY45" s="27"/>
      <c r="ACZ45" s="27"/>
      <c r="ADA45" s="27"/>
      <c r="ADB45" s="27"/>
      <c r="ADC45" s="27"/>
      <c r="ADD45" s="27"/>
      <c r="ADE45" s="27"/>
      <c r="ADF45" s="27"/>
      <c r="ADG45" s="27"/>
      <c r="ADH45" s="27"/>
      <c r="ADI45" s="27"/>
      <c r="ADJ45" s="27"/>
      <c r="ADK45" s="27"/>
      <c r="ADL45" s="27"/>
      <c r="ADM45" s="27"/>
      <c r="ADN45" s="27"/>
      <c r="ADO45" s="27"/>
      <c r="ADP45" s="27"/>
      <c r="ADQ45" s="27"/>
      <c r="ADR45" s="27"/>
      <c r="ADS45" s="27"/>
      <c r="ADT45" s="27"/>
      <c r="ADU45" s="27"/>
      <c r="ADV45" s="27"/>
      <c r="ADW45" s="27"/>
      <c r="ADX45" s="27"/>
      <c r="ADY45" s="27"/>
      <c r="ADZ45" s="27"/>
      <c r="AEA45" s="27"/>
      <c r="AEB45" s="27"/>
      <c r="AEC45" s="27"/>
      <c r="AED45" s="27"/>
      <c r="AEE45" s="27"/>
      <c r="AEF45" s="27"/>
      <c r="AEG45" s="27"/>
      <c r="AEH45" s="27"/>
      <c r="AEI45" s="27"/>
      <c r="AEJ45" s="27"/>
      <c r="AEK45" s="27"/>
      <c r="AEL45" s="27"/>
      <c r="AEM45" s="27"/>
      <c r="AEN45" s="27"/>
      <c r="AEO45" s="27"/>
      <c r="AEP45" s="27"/>
      <c r="AEQ45" s="27"/>
      <c r="AER45" s="27"/>
      <c r="AES45" s="27"/>
      <c r="AET45" s="27"/>
      <c r="AEU45" s="27"/>
      <c r="AEV45" s="27"/>
      <c r="AEW45" s="27"/>
      <c r="AEX45" s="27"/>
      <c r="AEY45" s="27"/>
      <c r="AEZ45" s="27"/>
      <c r="AFA45" s="27"/>
      <c r="AFB45" s="27"/>
      <c r="AFC45" s="27"/>
      <c r="AFD45" s="27"/>
      <c r="AFE45" s="27"/>
      <c r="AFF45" s="27"/>
      <c r="AFG45" s="27"/>
      <c r="AFH45" s="27"/>
      <c r="AFI45" s="27"/>
      <c r="AFJ45" s="27"/>
      <c r="AFK45" s="27"/>
      <c r="AFL45" s="27"/>
      <c r="AFM45" s="27"/>
      <c r="AFN45" s="27"/>
      <c r="AFO45" s="27"/>
      <c r="AFP45" s="27"/>
      <c r="AFQ45" s="27"/>
      <c r="AFR45" s="27"/>
      <c r="AFS45" s="27"/>
      <c r="AFT45" s="27"/>
      <c r="AFU45" s="27"/>
      <c r="AFV45" s="27"/>
      <c r="AFW45" s="27"/>
      <c r="AFX45" s="27"/>
      <c r="AFY45" s="27"/>
      <c r="AFZ45" s="27"/>
      <c r="AGA45" s="27"/>
      <c r="AGB45" s="27"/>
      <c r="AGC45" s="27"/>
      <c r="AGD45" s="27"/>
      <c r="AGE45" s="27"/>
      <c r="AGF45" s="27"/>
      <c r="AGG45" s="27"/>
      <c r="AGH45" s="27"/>
      <c r="AGI45" s="27"/>
      <c r="AGJ45" s="27"/>
      <c r="AGK45" s="27"/>
      <c r="AGL45" s="27"/>
      <c r="AGM45" s="27"/>
      <c r="AGN45" s="27"/>
      <c r="AGO45" s="27"/>
      <c r="AGP45" s="27"/>
      <c r="AGQ45" s="27"/>
      <c r="AGR45" s="27"/>
      <c r="AGS45" s="27"/>
      <c r="AGT45" s="27"/>
      <c r="AGU45" s="27"/>
      <c r="AGV45" s="27"/>
      <c r="AGW45" s="27"/>
      <c r="AGX45" s="27"/>
      <c r="AGY45" s="27"/>
      <c r="AGZ45" s="27"/>
      <c r="AHA45" s="27"/>
      <c r="AHB45" s="27"/>
      <c r="AHC45" s="27"/>
      <c r="AHD45" s="27"/>
      <c r="AHE45" s="27"/>
      <c r="AHF45" s="27"/>
      <c r="AHG45" s="27"/>
      <c r="AHH45" s="27"/>
      <c r="AHI45" s="27"/>
      <c r="AHJ45" s="27"/>
      <c r="AHK45" s="27"/>
      <c r="AHL45" s="27"/>
      <c r="AHM45" s="27"/>
      <c r="AHN45" s="27"/>
      <c r="AHO45" s="27"/>
      <c r="AHP45" s="27"/>
      <c r="AHQ45" s="27"/>
      <c r="AHR45" s="27"/>
      <c r="AHS45" s="27"/>
      <c r="AHT45" s="27"/>
      <c r="AHU45" s="27"/>
      <c r="AHV45" s="27"/>
      <c r="AHW45" s="27"/>
      <c r="AHX45" s="27"/>
      <c r="AHY45" s="27"/>
      <c r="AHZ45" s="27"/>
      <c r="AIA45" s="27"/>
      <c r="AIB45" s="27"/>
      <c r="AIC45" s="27"/>
      <c r="AID45" s="27"/>
      <c r="AIE45" s="27"/>
      <c r="AIF45" s="27"/>
      <c r="AIG45" s="27"/>
      <c r="AIH45" s="27"/>
      <c r="AII45" s="27"/>
      <c r="AIJ45" s="27"/>
      <c r="AIK45" s="27"/>
      <c r="AIL45" s="27"/>
      <c r="AIM45" s="27"/>
      <c r="AIN45" s="27"/>
      <c r="AIO45" s="27"/>
      <c r="AIP45" s="27"/>
      <c r="AIQ45" s="27"/>
      <c r="AIR45" s="27"/>
      <c r="AIS45" s="27"/>
      <c r="AIT45" s="27"/>
      <c r="AIU45" s="27"/>
      <c r="AIV45" s="27"/>
      <c r="AIW45" s="27"/>
      <c r="AIX45" s="27"/>
      <c r="AIY45" s="27"/>
      <c r="AIZ45" s="27"/>
      <c r="AJA45" s="27"/>
      <c r="AJB45" s="27"/>
      <c r="AJC45" s="27"/>
      <c r="AJD45" s="27"/>
      <c r="AJE45" s="27"/>
      <c r="AJF45" s="27"/>
      <c r="AJG45" s="27"/>
      <c r="AJH45" s="27"/>
      <c r="AJI45" s="27"/>
      <c r="AJJ45" s="27"/>
      <c r="AJK45" s="27"/>
      <c r="AJL45" s="27"/>
      <c r="AJM45" s="27"/>
      <c r="AJN45" s="27"/>
      <c r="AJO45" s="27"/>
      <c r="AJP45" s="27"/>
      <c r="AJQ45" s="27"/>
      <c r="AJR45" s="27"/>
      <c r="AJS45" s="27"/>
      <c r="AJT45" s="27"/>
      <c r="AJU45" s="27"/>
      <c r="AJV45" s="27"/>
      <c r="AJW45" s="27"/>
      <c r="AJX45" s="27"/>
      <c r="AJY45" s="27"/>
      <c r="AJZ45" s="27"/>
      <c r="AKA45" s="27"/>
      <c r="AKB45" s="27"/>
      <c r="AKC45" s="27"/>
      <c r="AKD45" s="27"/>
      <c r="AKE45" s="27"/>
      <c r="AKF45" s="27"/>
      <c r="AKG45" s="27"/>
      <c r="AKH45" s="27"/>
      <c r="AKI45" s="27"/>
      <c r="AKJ45" s="27"/>
      <c r="AKK45" s="27"/>
      <c r="AKL45" s="27"/>
      <c r="AKM45" s="27"/>
      <c r="AKN45" s="27"/>
      <c r="AKO45" s="27"/>
      <c r="AKP45" s="27"/>
      <c r="AKQ45" s="27"/>
      <c r="AKR45" s="27"/>
      <c r="AKS45" s="27"/>
      <c r="AKT45" s="27"/>
      <c r="AKU45" s="27"/>
      <c r="AKV45" s="27"/>
      <c r="AKW45" s="27"/>
      <c r="AKX45" s="27"/>
      <c r="AKY45" s="27"/>
      <c r="AKZ45" s="27"/>
      <c r="ALA45" s="27"/>
      <c r="ALB45" s="27"/>
      <c r="ALC45" s="27"/>
      <c r="ALD45" s="27"/>
      <c r="ALE45" s="27"/>
      <c r="ALF45" s="27"/>
      <c r="ALG45" s="27"/>
      <c r="ALH45" s="27"/>
      <c r="ALI45" s="27"/>
      <c r="ALJ45" s="27"/>
      <c r="ALK45" s="27"/>
      <c r="ALL45" s="27"/>
      <c r="ALM45" s="27"/>
      <c r="ALN45" s="27"/>
      <c r="ALO45" s="27"/>
      <c r="ALP45" s="27"/>
      <c r="ALQ45" s="27"/>
      <c r="ALR45" s="27"/>
      <c r="ALS45" s="27"/>
      <c r="ALT45" s="27"/>
      <c r="ALU45" s="27"/>
      <c r="ALV45" s="27"/>
      <c r="ALW45" s="27"/>
      <c r="ALX45" s="27"/>
      <c r="ALY45" s="27"/>
      <c r="ALZ45" s="27"/>
      <c r="AMA45" s="27"/>
      <c r="AMB45" s="27"/>
      <c r="AMC45" s="27"/>
      <c r="AMD45" s="27"/>
      <c r="AME45" s="27"/>
      <c r="AMF45" s="27"/>
      <c r="AMG45" s="27"/>
      <c r="AMH45" s="27"/>
      <c r="AMI45" s="27"/>
      <c r="AMJ45" s="27"/>
      <c r="AMK45" s="27"/>
    </row>
    <row r="46" spans="1:1025" ht="15" customHeight="1">
      <c r="A46" s="28" t="s">
        <v>15</v>
      </c>
      <c r="B46" s="116"/>
      <c r="C46" s="51" t="s">
        <v>120</v>
      </c>
      <c r="D46" s="51" t="s">
        <v>121</v>
      </c>
      <c r="E46" s="52">
        <v>1</v>
      </c>
      <c r="F46" s="91" t="b">
        <v>0</v>
      </c>
      <c r="G46" s="53">
        <v>1.3</v>
      </c>
      <c r="H46" s="53">
        <v>1.4</v>
      </c>
      <c r="I46" s="52" t="s">
        <v>73</v>
      </c>
      <c r="J46" s="52" t="s">
        <v>64</v>
      </c>
      <c r="K46" s="53">
        <f t="shared" si="7"/>
        <v>1.4000000000000001</v>
      </c>
      <c r="L46" s="53">
        <f t="shared" si="7"/>
        <v>1.5</v>
      </c>
      <c r="M46" s="54"/>
      <c r="N46" s="101"/>
      <c r="O46" s="74" t="s">
        <v>21</v>
      </c>
      <c r="P46" s="73" t="s">
        <v>22</v>
      </c>
      <c r="Q46" s="16"/>
      <c r="R46" s="46"/>
      <c r="S46" s="50"/>
      <c r="T46" s="48"/>
      <c r="U46" s="48"/>
      <c r="V46" s="113"/>
      <c r="W46" s="46"/>
      <c r="X46" s="49"/>
      <c r="Y46" s="49"/>
      <c r="Z46" s="49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27"/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  <c r="AIB46" s="27"/>
      <c r="AIC46" s="27"/>
      <c r="AID46" s="27"/>
      <c r="AIE46" s="27"/>
      <c r="AIF46" s="27"/>
      <c r="AIG46" s="27"/>
      <c r="AIH46" s="27"/>
      <c r="AII46" s="27"/>
      <c r="AIJ46" s="27"/>
      <c r="AIK46" s="27"/>
      <c r="AIL46" s="27"/>
      <c r="AIM46" s="27"/>
      <c r="AIN46" s="27"/>
      <c r="AIO46" s="27"/>
      <c r="AIP46" s="27"/>
      <c r="AIQ46" s="27"/>
      <c r="AIR46" s="27"/>
      <c r="AIS46" s="27"/>
      <c r="AIT46" s="27"/>
      <c r="AIU46" s="27"/>
      <c r="AIV46" s="27"/>
      <c r="AIW46" s="27"/>
      <c r="AIX46" s="27"/>
      <c r="AIY46" s="27"/>
      <c r="AIZ46" s="27"/>
      <c r="AJA46" s="27"/>
      <c r="AJB46" s="27"/>
      <c r="AJC46" s="27"/>
      <c r="AJD46" s="27"/>
      <c r="AJE46" s="27"/>
      <c r="AJF46" s="27"/>
      <c r="AJG46" s="27"/>
      <c r="AJH46" s="27"/>
      <c r="AJI46" s="27"/>
      <c r="AJJ46" s="27"/>
      <c r="AJK46" s="27"/>
      <c r="AJL46" s="27"/>
      <c r="AJM46" s="27"/>
      <c r="AJN46" s="27"/>
      <c r="AJO46" s="27"/>
      <c r="AJP46" s="27"/>
      <c r="AJQ46" s="27"/>
      <c r="AJR46" s="27"/>
      <c r="AJS46" s="27"/>
      <c r="AJT46" s="27"/>
      <c r="AJU46" s="27"/>
      <c r="AJV46" s="27"/>
      <c r="AJW46" s="27"/>
      <c r="AJX46" s="27"/>
      <c r="AJY46" s="27"/>
      <c r="AJZ46" s="27"/>
      <c r="AKA46" s="27"/>
      <c r="AKB46" s="27"/>
      <c r="AKC46" s="27"/>
      <c r="AKD46" s="27"/>
      <c r="AKE46" s="27"/>
      <c r="AKF46" s="27"/>
      <c r="AKG46" s="27"/>
      <c r="AKH46" s="27"/>
      <c r="AKI46" s="27"/>
      <c r="AKJ46" s="27"/>
      <c r="AKK46" s="27"/>
      <c r="AKL46" s="27"/>
      <c r="AKM46" s="27"/>
      <c r="AKN46" s="27"/>
      <c r="AKO46" s="27"/>
      <c r="AKP46" s="27"/>
      <c r="AKQ46" s="27"/>
      <c r="AKR46" s="27"/>
      <c r="AKS46" s="27"/>
      <c r="AKT46" s="27"/>
      <c r="AKU46" s="27"/>
      <c r="AKV46" s="27"/>
      <c r="AKW46" s="27"/>
      <c r="AKX46" s="27"/>
      <c r="AKY46" s="27"/>
      <c r="AKZ46" s="27"/>
      <c r="ALA46" s="27"/>
      <c r="ALB46" s="27"/>
      <c r="ALC46" s="27"/>
      <c r="ALD46" s="27"/>
      <c r="ALE46" s="27"/>
      <c r="ALF46" s="27"/>
      <c r="ALG46" s="27"/>
      <c r="ALH46" s="27"/>
      <c r="ALI46" s="27"/>
      <c r="ALJ46" s="27"/>
      <c r="ALK46" s="27"/>
      <c r="ALL46" s="27"/>
      <c r="ALM46" s="27"/>
      <c r="ALN46" s="27"/>
      <c r="ALO46" s="27"/>
      <c r="ALP46" s="27"/>
      <c r="ALQ46" s="27"/>
      <c r="ALR46" s="27"/>
      <c r="ALS46" s="27"/>
      <c r="ALT46" s="27"/>
      <c r="ALU46" s="27"/>
      <c r="ALV46" s="27"/>
      <c r="ALW46" s="27"/>
      <c r="ALX46" s="27"/>
      <c r="ALY46" s="27"/>
      <c r="ALZ46" s="27"/>
      <c r="AMA46" s="27"/>
      <c r="AMB46" s="27"/>
      <c r="AMC46" s="27"/>
      <c r="AMD46" s="27"/>
      <c r="AME46" s="27"/>
      <c r="AMF46" s="27"/>
      <c r="AMG46" s="27"/>
      <c r="AMH46" s="27"/>
      <c r="AMI46" s="27"/>
      <c r="AMJ46" s="27"/>
      <c r="AMK46" s="27"/>
    </row>
    <row r="47" spans="1:1025" ht="15" customHeight="1">
      <c r="A47" s="93" t="s">
        <v>15</v>
      </c>
      <c r="B47" s="107" t="s">
        <v>122</v>
      </c>
      <c r="C47" s="61" t="s">
        <v>123</v>
      </c>
      <c r="D47" s="55" t="s">
        <v>124</v>
      </c>
      <c r="E47" s="56">
        <v>1</v>
      </c>
      <c r="F47" s="91" t="b">
        <v>0</v>
      </c>
      <c r="G47" s="57">
        <v>9</v>
      </c>
      <c r="H47" s="57">
        <v>1.3</v>
      </c>
      <c r="I47" s="56" t="s">
        <v>63</v>
      </c>
      <c r="J47" s="56" t="s">
        <v>64</v>
      </c>
      <c r="K47" s="57">
        <f>G47+0.3</f>
        <v>9.3000000000000007</v>
      </c>
      <c r="L47" s="57">
        <f>H47+0.3</f>
        <v>1.6</v>
      </c>
      <c r="M47" s="58">
        <f t="shared" ref="M47:M50" si="8">L47*K47*F47</f>
        <v>0</v>
      </c>
      <c r="N47" s="101"/>
      <c r="O47" s="100"/>
      <c r="P47" s="58"/>
      <c r="Q47" s="16"/>
      <c r="R47" s="46"/>
      <c r="S47" s="50"/>
      <c r="T47" s="48"/>
      <c r="U47" s="48"/>
      <c r="V47" s="113"/>
      <c r="W47" s="46"/>
      <c r="X47" s="49"/>
      <c r="Y47" s="49"/>
      <c r="Z47" s="49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/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/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  <c r="UU47" s="27"/>
      <c r="UV47" s="27"/>
      <c r="UW47" s="27"/>
      <c r="UX47" s="27"/>
      <c r="UY47" s="27"/>
      <c r="UZ47" s="27"/>
      <c r="VA47" s="27"/>
      <c r="VB47" s="27"/>
      <c r="VC47" s="27"/>
      <c r="VD47" s="27"/>
      <c r="VE47" s="27"/>
      <c r="VF47" s="27"/>
      <c r="VG47" s="27"/>
      <c r="VH47" s="27"/>
      <c r="VI47" s="27"/>
      <c r="VJ47" s="27"/>
      <c r="VK47" s="27"/>
      <c r="VL47" s="27"/>
      <c r="VM47" s="27"/>
      <c r="VN47" s="27"/>
      <c r="VO47" s="27"/>
      <c r="VP47" s="27"/>
      <c r="VQ47" s="27"/>
      <c r="VR47" s="27"/>
      <c r="VS47" s="27"/>
      <c r="VT47" s="27"/>
      <c r="VU47" s="27"/>
      <c r="VV47" s="27"/>
      <c r="VW47" s="27"/>
      <c r="VX47" s="27"/>
      <c r="VY47" s="27"/>
      <c r="VZ47" s="27"/>
      <c r="WA47" s="27"/>
      <c r="WB47" s="27"/>
      <c r="WC47" s="27"/>
      <c r="WD47" s="27"/>
      <c r="WE47" s="27"/>
      <c r="WF47" s="27"/>
      <c r="WG47" s="27"/>
      <c r="WH47" s="27"/>
      <c r="WI47" s="27"/>
      <c r="WJ47" s="27"/>
      <c r="WK47" s="27"/>
      <c r="WL47" s="27"/>
      <c r="WM47" s="27"/>
      <c r="WN47" s="27"/>
      <c r="WO47" s="27"/>
      <c r="WP47" s="27"/>
      <c r="WQ47" s="27"/>
      <c r="WR47" s="27"/>
      <c r="WS47" s="27"/>
      <c r="WT47" s="27"/>
      <c r="WU47" s="27"/>
      <c r="WV47" s="27"/>
      <c r="WW47" s="27"/>
      <c r="WX47" s="27"/>
      <c r="WY47" s="27"/>
      <c r="WZ47" s="27"/>
      <c r="XA47" s="27"/>
      <c r="XB47" s="27"/>
      <c r="XC47" s="27"/>
      <c r="XD47" s="27"/>
      <c r="XE47" s="27"/>
      <c r="XF47" s="27"/>
      <c r="XG47" s="27"/>
      <c r="XH47" s="27"/>
      <c r="XI47" s="27"/>
      <c r="XJ47" s="27"/>
      <c r="XK47" s="27"/>
      <c r="XL47" s="27"/>
      <c r="XM47" s="27"/>
      <c r="XN47" s="27"/>
      <c r="XO47" s="27"/>
      <c r="XP47" s="27"/>
      <c r="XQ47" s="27"/>
      <c r="XR47" s="27"/>
      <c r="XS47" s="27"/>
      <c r="XT47" s="27"/>
      <c r="XU47" s="27"/>
      <c r="XV47" s="27"/>
      <c r="XW47" s="27"/>
      <c r="XX47" s="27"/>
      <c r="XY47" s="27"/>
      <c r="XZ47" s="27"/>
      <c r="YA47" s="27"/>
      <c r="YB47" s="27"/>
      <c r="YC47" s="27"/>
      <c r="YD47" s="27"/>
      <c r="YE47" s="27"/>
      <c r="YF47" s="27"/>
      <c r="YG47" s="27"/>
      <c r="YH47" s="27"/>
      <c r="YI47" s="27"/>
      <c r="YJ47" s="27"/>
      <c r="YK47" s="27"/>
      <c r="YL47" s="27"/>
      <c r="YM47" s="27"/>
      <c r="YN47" s="27"/>
      <c r="YO47" s="27"/>
      <c r="YP47" s="27"/>
      <c r="YQ47" s="27"/>
      <c r="YR47" s="27"/>
      <c r="YS47" s="27"/>
      <c r="YT47" s="27"/>
      <c r="YU47" s="27"/>
      <c r="YV47" s="27"/>
      <c r="YW47" s="27"/>
      <c r="YX47" s="27"/>
      <c r="YY47" s="27"/>
      <c r="YZ47" s="27"/>
      <c r="ZA47" s="27"/>
      <c r="ZB47" s="27"/>
      <c r="ZC47" s="27"/>
      <c r="ZD47" s="27"/>
      <c r="ZE47" s="27"/>
      <c r="ZF47" s="27"/>
      <c r="ZG47" s="27"/>
      <c r="ZH47" s="27"/>
      <c r="ZI47" s="27"/>
      <c r="ZJ47" s="27"/>
      <c r="ZK47" s="27"/>
      <c r="ZL47" s="27"/>
      <c r="ZM47" s="27"/>
      <c r="ZN47" s="27"/>
      <c r="ZO47" s="27"/>
      <c r="ZP47" s="27"/>
      <c r="ZQ47" s="27"/>
      <c r="ZR47" s="27"/>
      <c r="ZS47" s="27"/>
      <c r="ZT47" s="27"/>
      <c r="ZU47" s="27"/>
      <c r="ZV47" s="27"/>
      <c r="ZW47" s="27"/>
      <c r="ZX47" s="27"/>
      <c r="ZY47" s="27"/>
      <c r="ZZ47" s="27"/>
      <c r="AAA47" s="27"/>
      <c r="AAB47" s="27"/>
      <c r="AAC47" s="27"/>
      <c r="AAD47" s="27"/>
      <c r="AAE47" s="27"/>
      <c r="AAF47" s="27"/>
      <c r="AAG47" s="27"/>
      <c r="AAH47" s="27"/>
      <c r="AAI47" s="27"/>
      <c r="AAJ47" s="27"/>
      <c r="AAK47" s="27"/>
      <c r="AAL47" s="27"/>
      <c r="AAM47" s="27"/>
      <c r="AAN47" s="27"/>
      <c r="AAO47" s="27"/>
      <c r="AAP47" s="27"/>
      <c r="AAQ47" s="27"/>
      <c r="AAR47" s="27"/>
      <c r="AAS47" s="27"/>
      <c r="AAT47" s="27"/>
      <c r="AAU47" s="27"/>
      <c r="AAV47" s="27"/>
      <c r="AAW47" s="27"/>
      <c r="AAX47" s="27"/>
      <c r="AAY47" s="27"/>
      <c r="AAZ47" s="27"/>
      <c r="ABA47" s="27"/>
      <c r="ABB47" s="27"/>
      <c r="ABC47" s="27"/>
      <c r="ABD47" s="27"/>
      <c r="ABE47" s="27"/>
      <c r="ABF47" s="27"/>
      <c r="ABG47" s="27"/>
      <c r="ABH47" s="27"/>
      <c r="ABI47" s="27"/>
      <c r="ABJ47" s="27"/>
      <c r="ABK47" s="27"/>
      <c r="ABL47" s="27"/>
      <c r="ABM47" s="27"/>
      <c r="ABN47" s="27"/>
      <c r="ABO47" s="27"/>
      <c r="ABP47" s="27"/>
      <c r="ABQ47" s="27"/>
      <c r="ABR47" s="27"/>
      <c r="ABS47" s="27"/>
      <c r="ABT47" s="27"/>
      <c r="ABU47" s="27"/>
      <c r="ABV47" s="27"/>
      <c r="ABW47" s="27"/>
      <c r="ABX47" s="27"/>
      <c r="ABY47" s="27"/>
      <c r="ABZ47" s="27"/>
      <c r="ACA47" s="27"/>
      <c r="ACB47" s="27"/>
      <c r="ACC47" s="27"/>
      <c r="ACD47" s="27"/>
      <c r="ACE47" s="27"/>
      <c r="ACF47" s="27"/>
      <c r="ACG47" s="27"/>
      <c r="ACH47" s="27"/>
      <c r="ACI47" s="27"/>
      <c r="ACJ47" s="27"/>
      <c r="ACK47" s="27"/>
      <c r="ACL47" s="27"/>
      <c r="ACM47" s="27"/>
      <c r="ACN47" s="27"/>
      <c r="ACO47" s="27"/>
      <c r="ACP47" s="27"/>
      <c r="ACQ47" s="27"/>
      <c r="ACR47" s="27"/>
      <c r="ACS47" s="27"/>
      <c r="ACT47" s="27"/>
      <c r="ACU47" s="27"/>
      <c r="ACV47" s="27"/>
      <c r="ACW47" s="27"/>
      <c r="ACX47" s="27"/>
      <c r="ACY47" s="27"/>
      <c r="ACZ47" s="27"/>
      <c r="ADA47" s="27"/>
      <c r="ADB47" s="27"/>
      <c r="ADC47" s="27"/>
      <c r="ADD47" s="27"/>
      <c r="ADE47" s="27"/>
      <c r="ADF47" s="27"/>
      <c r="ADG47" s="27"/>
      <c r="ADH47" s="27"/>
      <c r="ADI47" s="27"/>
      <c r="ADJ47" s="27"/>
      <c r="ADK47" s="27"/>
      <c r="ADL47" s="27"/>
      <c r="ADM47" s="27"/>
      <c r="ADN47" s="27"/>
      <c r="ADO47" s="27"/>
      <c r="ADP47" s="27"/>
      <c r="ADQ47" s="27"/>
      <c r="ADR47" s="27"/>
      <c r="ADS47" s="27"/>
      <c r="ADT47" s="27"/>
      <c r="ADU47" s="27"/>
      <c r="ADV47" s="27"/>
      <c r="ADW47" s="27"/>
      <c r="ADX47" s="27"/>
      <c r="ADY47" s="27"/>
      <c r="ADZ47" s="27"/>
      <c r="AEA47" s="27"/>
      <c r="AEB47" s="27"/>
      <c r="AEC47" s="27"/>
      <c r="AED47" s="27"/>
      <c r="AEE47" s="27"/>
      <c r="AEF47" s="27"/>
      <c r="AEG47" s="27"/>
      <c r="AEH47" s="27"/>
      <c r="AEI47" s="27"/>
      <c r="AEJ47" s="27"/>
      <c r="AEK47" s="27"/>
      <c r="AEL47" s="27"/>
      <c r="AEM47" s="27"/>
      <c r="AEN47" s="27"/>
      <c r="AEO47" s="27"/>
      <c r="AEP47" s="27"/>
      <c r="AEQ47" s="27"/>
      <c r="AER47" s="27"/>
      <c r="AES47" s="27"/>
      <c r="AET47" s="27"/>
      <c r="AEU47" s="27"/>
      <c r="AEV47" s="27"/>
      <c r="AEW47" s="27"/>
      <c r="AEX47" s="27"/>
      <c r="AEY47" s="27"/>
      <c r="AEZ47" s="27"/>
      <c r="AFA47" s="27"/>
      <c r="AFB47" s="27"/>
      <c r="AFC47" s="27"/>
      <c r="AFD47" s="27"/>
      <c r="AFE47" s="27"/>
      <c r="AFF47" s="27"/>
      <c r="AFG47" s="27"/>
      <c r="AFH47" s="27"/>
      <c r="AFI47" s="27"/>
      <c r="AFJ47" s="27"/>
      <c r="AFK47" s="27"/>
      <c r="AFL47" s="27"/>
      <c r="AFM47" s="27"/>
      <c r="AFN47" s="27"/>
      <c r="AFO47" s="27"/>
      <c r="AFP47" s="27"/>
      <c r="AFQ47" s="27"/>
      <c r="AFR47" s="27"/>
      <c r="AFS47" s="27"/>
      <c r="AFT47" s="27"/>
      <c r="AFU47" s="27"/>
      <c r="AFV47" s="27"/>
      <c r="AFW47" s="27"/>
      <c r="AFX47" s="27"/>
      <c r="AFY47" s="27"/>
      <c r="AFZ47" s="27"/>
      <c r="AGA47" s="27"/>
      <c r="AGB47" s="27"/>
      <c r="AGC47" s="27"/>
      <c r="AGD47" s="27"/>
      <c r="AGE47" s="27"/>
      <c r="AGF47" s="27"/>
      <c r="AGG47" s="27"/>
      <c r="AGH47" s="27"/>
      <c r="AGI47" s="27"/>
      <c r="AGJ47" s="27"/>
      <c r="AGK47" s="27"/>
      <c r="AGL47" s="27"/>
      <c r="AGM47" s="27"/>
      <c r="AGN47" s="27"/>
      <c r="AGO47" s="27"/>
      <c r="AGP47" s="27"/>
      <c r="AGQ47" s="27"/>
      <c r="AGR47" s="27"/>
      <c r="AGS47" s="27"/>
      <c r="AGT47" s="27"/>
      <c r="AGU47" s="27"/>
      <c r="AGV47" s="27"/>
      <c r="AGW47" s="27"/>
      <c r="AGX47" s="27"/>
      <c r="AGY47" s="27"/>
      <c r="AGZ47" s="27"/>
      <c r="AHA47" s="27"/>
      <c r="AHB47" s="27"/>
      <c r="AHC47" s="27"/>
      <c r="AHD47" s="27"/>
      <c r="AHE47" s="27"/>
      <c r="AHF47" s="27"/>
      <c r="AHG47" s="27"/>
      <c r="AHH47" s="27"/>
      <c r="AHI47" s="27"/>
      <c r="AHJ47" s="27"/>
      <c r="AHK47" s="27"/>
      <c r="AHL47" s="27"/>
      <c r="AHM47" s="27"/>
      <c r="AHN47" s="27"/>
      <c r="AHO47" s="27"/>
      <c r="AHP47" s="27"/>
      <c r="AHQ47" s="27"/>
      <c r="AHR47" s="27"/>
      <c r="AHS47" s="27"/>
      <c r="AHT47" s="27"/>
      <c r="AHU47" s="27"/>
      <c r="AHV47" s="27"/>
      <c r="AHW47" s="27"/>
      <c r="AHX47" s="27"/>
      <c r="AHY47" s="27"/>
      <c r="AHZ47" s="27"/>
      <c r="AIA47" s="27"/>
      <c r="AIB47" s="27"/>
      <c r="AIC47" s="27"/>
      <c r="AID47" s="27"/>
      <c r="AIE47" s="27"/>
      <c r="AIF47" s="27"/>
      <c r="AIG47" s="27"/>
      <c r="AIH47" s="27"/>
      <c r="AII47" s="27"/>
      <c r="AIJ47" s="27"/>
      <c r="AIK47" s="27"/>
      <c r="AIL47" s="27"/>
      <c r="AIM47" s="27"/>
      <c r="AIN47" s="27"/>
      <c r="AIO47" s="27"/>
      <c r="AIP47" s="27"/>
      <c r="AIQ47" s="27"/>
      <c r="AIR47" s="27"/>
      <c r="AIS47" s="27"/>
      <c r="AIT47" s="27"/>
      <c r="AIU47" s="27"/>
      <c r="AIV47" s="27"/>
      <c r="AIW47" s="27"/>
      <c r="AIX47" s="27"/>
      <c r="AIY47" s="27"/>
      <c r="AIZ47" s="27"/>
      <c r="AJA47" s="27"/>
      <c r="AJB47" s="27"/>
      <c r="AJC47" s="27"/>
      <c r="AJD47" s="27"/>
      <c r="AJE47" s="27"/>
      <c r="AJF47" s="27"/>
      <c r="AJG47" s="27"/>
      <c r="AJH47" s="27"/>
      <c r="AJI47" s="27"/>
      <c r="AJJ47" s="27"/>
      <c r="AJK47" s="27"/>
      <c r="AJL47" s="27"/>
      <c r="AJM47" s="27"/>
      <c r="AJN47" s="27"/>
      <c r="AJO47" s="27"/>
      <c r="AJP47" s="27"/>
      <c r="AJQ47" s="27"/>
      <c r="AJR47" s="27"/>
      <c r="AJS47" s="27"/>
      <c r="AJT47" s="27"/>
      <c r="AJU47" s="27"/>
      <c r="AJV47" s="27"/>
      <c r="AJW47" s="27"/>
      <c r="AJX47" s="27"/>
      <c r="AJY47" s="27"/>
      <c r="AJZ47" s="27"/>
      <c r="AKA47" s="27"/>
      <c r="AKB47" s="27"/>
      <c r="AKC47" s="27"/>
      <c r="AKD47" s="27"/>
      <c r="AKE47" s="27"/>
      <c r="AKF47" s="27"/>
      <c r="AKG47" s="27"/>
      <c r="AKH47" s="27"/>
      <c r="AKI47" s="27"/>
      <c r="AKJ47" s="27"/>
      <c r="AKK47" s="27"/>
      <c r="AKL47" s="27"/>
      <c r="AKM47" s="27"/>
      <c r="AKN47" s="27"/>
      <c r="AKO47" s="27"/>
      <c r="AKP47" s="27"/>
      <c r="AKQ47" s="27"/>
      <c r="AKR47" s="27"/>
      <c r="AKS47" s="27"/>
      <c r="AKT47" s="27"/>
      <c r="AKU47" s="27"/>
      <c r="AKV47" s="27"/>
      <c r="AKW47" s="27"/>
      <c r="AKX47" s="27"/>
      <c r="AKY47" s="27"/>
      <c r="AKZ47" s="27"/>
      <c r="ALA47" s="27"/>
      <c r="ALB47" s="27"/>
      <c r="ALC47" s="27"/>
      <c r="ALD47" s="27"/>
      <c r="ALE47" s="27"/>
      <c r="ALF47" s="27"/>
      <c r="ALG47" s="27"/>
      <c r="ALH47" s="27"/>
      <c r="ALI47" s="27"/>
      <c r="ALJ47" s="27"/>
      <c r="ALK47" s="27"/>
      <c r="ALL47" s="27"/>
      <c r="ALM47" s="27"/>
      <c r="ALN47" s="27"/>
      <c r="ALO47" s="27"/>
      <c r="ALP47" s="27"/>
      <c r="ALQ47" s="27"/>
      <c r="ALR47" s="27"/>
      <c r="ALS47" s="27"/>
      <c r="ALT47" s="27"/>
      <c r="ALU47" s="27"/>
      <c r="ALV47" s="27"/>
      <c r="ALW47" s="27"/>
      <c r="ALX47" s="27"/>
      <c r="ALY47" s="27"/>
      <c r="ALZ47" s="27"/>
      <c r="AMA47" s="27"/>
      <c r="AMB47" s="27"/>
      <c r="AMC47" s="27"/>
      <c r="AMD47" s="27"/>
      <c r="AME47" s="27"/>
      <c r="AMF47" s="27"/>
      <c r="AMG47" s="27"/>
      <c r="AMH47" s="27"/>
      <c r="AMI47" s="27"/>
      <c r="AMJ47" s="27"/>
      <c r="AMK47" s="27"/>
    </row>
    <row r="48" spans="1:1025" ht="15" customHeight="1">
      <c r="A48" s="93" t="s">
        <v>15</v>
      </c>
      <c r="B48" s="107"/>
      <c r="C48" s="61" t="s">
        <v>125</v>
      </c>
      <c r="D48" s="55" t="s">
        <v>126</v>
      </c>
      <c r="E48" s="56">
        <v>1</v>
      </c>
      <c r="F48" s="91" t="b">
        <v>0</v>
      </c>
      <c r="G48" s="57">
        <v>8.3000000000000007</v>
      </c>
      <c r="H48" s="57">
        <v>2.2999999999999998</v>
      </c>
      <c r="I48" s="56" t="s">
        <v>63</v>
      </c>
      <c r="J48" s="56" t="s">
        <v>20</v>
      </c>
      <c r="K48" s="57">
        <v>8.3000000000000007</v>
      </c>
      <c r="L48" s="57">
        <v>2.2999999999999998</v>
      </c>
      <c r="M48" s="58">
        <f t="shared" si="8"/>
        <v>0</v>
      </c>
      <c r="N48" s="101"/>
      <c r="O48" s="100"/>
      <c r="P48" s="58"/>
      <c r="Q48" s="16"/>
      <c r="R48" s="46"/>
      <c r="S48" s="50"/>
      <c r="T48" s="48"/>
      <c r="U48" s="48"/>
      <c r="V48" s="113"/>
      <c r="W48" s="46"/>
      <c r="X48" s="49"/>
      <c r="Y48" s="49"/>
      <c r="Z48" s="49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  <c r="UU48" s="27"/>
      <c r="UV48" s="27"/>
      <c r="UW48" s="27"/>
      <c r="UX48" s="27"/>
      <c r="UY48" s="27"/>
      <c r="UZ48" s="27"/>
      <c r="VA48" s="27"/>
      <c r="VB48" s="27"/>
      <c r="VC48" s="27"/>
      <c r="VD48" s="27"/>
      <c r="VE48" s="27"/>
      <c r="VF48" s="27"/>
      <c r="VG48" s="27"/>
      <c r="VH48" s="27"/>
      <c r="VI48" s="27"/>
      <c r="VJ48" s="27"/>
      <c r="VK48" s="27"/>
      <c r="VL48" s="27"/>
      <c r="VM48" s="27"/>
      <c r="VN48" s="27"/>
      <c r="VO48" s="27"/>
      <c r="VP48" s="27"/>
      <c r="VQ48" s="27"/>
      <c r="VR48" s="27"/>
      <c r="VS48" s="27"/>
      <c r="VT48" s="27"/>
      <c r="VU48" s="27"/>
      <c r="VV48" s="27"/>
      <c r="VW48" s="27"/>
      <c r="VX48" s="27"/>
      <c r="VY48" s="27"/>
      <c r="VZ48" s="27"/>
      <c r="WA48" s="27"/>
      <c r="WB48" s="27"/>
      <c r="WC48" s="27"/>
      <c r="WD48" s="27"/>
      <c r="WE48" s="27"/>
      <c r="WF48" s="27"/>
      <c r="WG48" s="27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/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7"/>
      <c r="AAN48" s="27"/>
      <c r="AAO48" s="27"/>
      <c r="AAP48" s="27"/>
      <c r="AAQ48" s="27"/>
      <c r="AAR48" s="27"/>
      <c r="AAS48" s="27"/>
      <c r="AAT48" s="27"/>
      <c r="AAU48" s="27"/>
      <c r="AAV48" s="27"/>
      <c r="AAW48" s="27"/>
      <c r="AAX48" s="27"/>
      <c r="AAY48" s="27"/>
      <c r="AAZ48" s="27"/>
      <c r="ABA48" s="27"/>
      <c r="ABB48" s="27"/>
      <c r="ABC48" s="27"/>
      <c r="ABD48" s="27"/>
      <c r="ABE48" s="27"/>
      <c r="ABF48" s="27"/>
      <c r="ABG48" s="27"/>
      <c r="ABH48" s="27"/>
      <c r="ABI48" s="27"/>
      <c r="ABJ48" s="27"/>
      <c r="ABK48" s="27"/>
      <c r="ABL48" s="27"/>
      <c r="ABM48" s="27"/>
      <c r="ABN48" s="27"/>
      <c r="ABO48" s="27"/>
      <c r="ABP48" s="27"/>
      <c r="ABQ48" s="27"/>
      <c r="ABR48" s="27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7"/>
      <c r="ACD48" s="27"/>
      <c r="ACE48" s="27"/>
      <c r="ACF48" s="27"/>
      <c r="ACG48" s="27"/>
      <c r="ACH48" s="27"/>
      <c r="ACI48" s="27"/>
      <c r="ACJ48" s="27"/>
      <c r="ACK48" s="27"/>
      <c r="ACL48" s="27"/>
      <c r="ACM48" s="27"/>
      <c r="ACN48" s="27"/>
      <c r="ACO48" s="27"/>
      <c r="ACP48" s="27"/>
      <c r="ACQ48" s="27"/>
      <c r="ACR48" s="27"/>
      <c r="ACS48" s="27"/>
      <c r="ACT48" s="27"/>
      <c r="ACU48" s="27"/>
      <c r="ACV48" s="27"/>
      <c r="ACW48" s="27"/>
      <c r="ACX48" s="27"/>
      <c r="ACY48" s="27"/>
      <c r="ACZ48" s="27"/>
      <c r="ADA48" s="27"/>
      <c r="ADB48" s="27"/>
      <c r="ADC48" s="27"/>
      <c r="ADD48" s="27"/>
      <c r="ADE48" s="27"/>
      <c r="ADF48" s="27"/>
      <c r="ADG48" s="27"/>
      <c r="ADH48" s="27"/>
      <c r="ADI48" s="27"/>
      <c r="ADJ48" s="27"/>
      <c r="ADK48" s="27"/>
      <c r="ADL48" s="27"/>
      <c r="ADM48" s="27"/>
      <c r="ADN48" s="27"/>
      <c r="ADO48" s="27"/>
      <c r="ADP48" s="27"/>
      <c r="ADQ48" s="27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7"/>
      <c r="AEH48" s="27"/>
      <c r="AEI48" s="27"/>
      <c r="AEJ48" s="27"/>
      <c r="AEK48" s="27"/>
      <c r="AEL48" s="27"/>
      <c r="AEM48" s="27"/>
      <c r="AEN48" s="27"/>
      <c r="AEO48" s="27"/>
      <c r="AEP48" s="27"/>
      <c r="AEQ48" s="27"/>
      <c r="AER48" s="27"/>
      <c r="AES48" s="27"/>
      <c r="AET48" s="27"/>
      <c r="AEU48" s="27"/>
      <c r="AEV48" s="27"/>
      <c r="AEW48" s="27"/>
      <c r="AEX48" s="27"/>
      <c r="AEY48" s="27"/>
      <c r="AEZ48" s="27"/>
      <c r="AFA48" s="27"/>
      <c r="AFB48" s="27"/>
      <c r="AFC48" s="27"/>
      <c r="AFD48" s="27"/>
      <c r="AFE48" s="27"/>
      <c r="AFF48" s="27"/>
      <c r="AFG48" s="27"/>
      <c r="AFH48" s="27"/>
      <c r="AFI48" s="27"/>
      <c r="AFJ48" s="27"/>
      <c r="AFK48" s="27"/>
      <c r="AFL48" s="27"/>
      <c r="AFM48" s="27"/>
      <c r="AFN48" s="27"/>
      <c r="AFO48" s="27"/>
      <c r="AFP48" s="27"/>
      <c r="AFQ48" s="27"/>
      <c r="AFR48" s="27"/>
      <c r="AFS48" s="27"/>
      <c r="AFT48" s="27"/>
      <c r="AFU48" s="27"/>
      <c r="AFV48" s="27"/>
      <c r="AFW48" s="27"/>
      <c r="AFX48" s="27"/>
      <c r="AFY48" s="27"/>
      <c r="AFZ48" s="27"/>
      <c r="AGA48" s="27"/>
      <c r="AGB48" s="27"/>
      <c r="AGC48" s="27"/>
      <c r="AGD48" s="27"/>
      <c r="AGE48" s="27"/>
      <c r="AGF48" s="27"/>
      <c r="AGG48" s="27"/>
      <c r="AGH48" s="27"/>
      <c r="AGI48" s="27"/>
      <c r="AGJ48" s="27"/>
      <c r="AGK48" s="27"/>
      <c r="AGL48" s="27"/>
      <c r="AGM48" s="27"/>
      <c r="AGN48" s="27"/>
      <c r="AGO48" s="27"/>
      <c r="AGP48" s="27"/>
      <c r="AGQ48" s="27"/>
      <c r="AGR48" s="27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7"/>
      <c r="AHH48" s="27"/>
      <c r="AHI48" s="27"/>
      <c r="AHJ48" s="27"/>
      <c r="AHK48" s="27"/>
      <c r="AHL48" s="27"/>
      <c r="AHM48" s="27"/>
      <c r="AHN48" s="27"/>
      <c r="AHO48" s="27"/>
      <c r="AHP48" s="27"/>
      <c r="AHQ48" s="27"/>
      <c r="AHR48" s="27"/>
      <c r="AHS48" s="27"/>
      <c r="AHT48" s="27"/>
      <c r="AHU48" s="27"/>
      <c r="AHV48" s="27"/>
      <c r="AHW48" s="27"/>
      <c r="AHX48" s="27"/>
      <c r="AHY48" s="27"/>
      <c r="AHZ48" s="27"/>
      <c r="AIA48" s="27"/>
      <c r="AIB48" s="27"/>
      <c r="AIC48" s="27"/>
      <c r="AID48" s="27"/>
      <c r="AIE48" s="27"/>
      <c r="AIF48" s="27"/>
      <c r="AIG48" s="27"/>
      <c r="AIH48" s="27"/>
      <c r="AII48" s="27"/>
      <c r="AIJ48" s="27"/>
      <c r="AIK48" s="27"/>
      <c r="AIL48" s="27"/>
      <c r="AIM48" s="27"/>
      <c r="AIN48" s="27"/>
      <c r="AIO48" s="27"/>
      <c r="AIP48" s="27"/>
      <c r="AIQ48" s="27"/>
      <c r="AIR48" s="27"/>
      <c r="AIS48" s="27"/>
      <c r="AIT48" s="27"/>
      <c r="AIU48" s="27"/>
      <c r="AIV48" s="27"/>
      <c r="AIW48" s="27"/>
      <c r="AIX48" s="27"/>
      <c r="AIY48" s="27"/>
      <c r="AIZ48" s="27"/>
      <c r="AJA48" s="27"/>
      <c r="AJB48" s="27"/>
      <c r="AJC48" s="27"/>
      <c r="AJD48" s="27"/>
      <c r="AJE48" s="27"/>
      <c r="AJF48" s="27"/>
      <c r="AJG48" s="27"/>
      <c r="AJH48" s="27"/>
      <c r="AJI48" s="27"/>
      <c r="AJJ48" s="27"/>
      <c r="AJK48" s="27"/>
      <c r="AJL48" s="27"/>
      <c r="AJM48" s="27"/>
      <c r="AJN48" s="27"/>
      <c r="AJO48" s="27"/>
      <c r="AJP48" s="27"/>
      <c r="AJQ48" s="27"/>
      <c r="AJR48" s="27"/>
      <c r="AJS48" s="27"/>
      <c r="AJT48" s="27"/>
      <c r="AJU48" s="27"/>
      <c r="AJV48" s="27"/>
      <c r="AJW48" s="27"/>
      <c r="AJX48" s="27"/>
      <c r="AJY48" s="27"/>
      <c r="AJZ48" s="27"/>
      <c r="AKA48" s="27"/>
      <c r="AKB48" s="27"/>
      <c r="AKC48" s="27"/>
      <c r="AKD48" s="27"/>
      <c r="AKE48" s="27"/>
      <c r="AKF48" s="27"/>
      <c r="AKG48" s="27"/>
      <c r="AKH48" s="27"/>
      <c r="AKI48" s="27"/>
      <c r="AKJ48" s="27"/>
      <c r="AKK48" s="27"/>
      <c r="AKL48" s="27"/>
      <c r="AKM48" s="27"/>
      <c r="AKN48" s="27"/>
      <c r="AKO48" s="27"/>
      <c r="AKP48" s="27"/>
      <c r="AKQ48" s="27"/>
      <c r="AKR48" s="27"/>
      <c r="AKS48" s="27"/>
      <c r="AKT48" s="27"/>
      <c r="AKU48" s="27"/>
      <c r="AKV48" s="27"/>
      <c r="AKW48" s="27"/>
      <c r="AKX48" s="27"/>
      <c r="AKY48" s="27"/>
      <c r="AKZ48" s="27"/>
      <c r="ALA48" s="27"/>
      <c r="ALB48" s="27"/>
      <c r="ALC48" s="27"/>
      <c r="ALD48" s="27"/>
      <c r="ALE48" s="27"/>
      <c r="ALF48" s="27"/>
      <c r="ALG48" s="27"/>
      <c r="ALH48" s="27"/>
      <c r="ALI48" s="27"/>
      <c r="ALJ48" s="27"/>
      <c r="ALK48" s="27"/>
      <c r="ALL48" s="27"/>
      <c r="ALM48" s="27"/>
      <c r="ALN48" s="27"/>
      <c r="ALO48" s="27"/>
      <c r="ALP48" s="27"/>
      <c r="ALQ48" s="27"/>
      <c r="ALR48" s="27"/>
      <c r="ALS48" s="27"/>
      <c r="ALT48" s="27"/>
      <c r="ALU48" s="27"/>
      <c r="ALV48" s="27"/>
      <c r="ALW48" s="27"/>
      <c r="ALX48" s="27"/>
      <c r="ALY48" s="27"/>
      <c r="ALZ48" s="27"/>
      <c r="AMA48" s="27"/>
      <c r="AMB48" s="27"/>
      <c r="AMC48" s="27"/>
      <c r="AMD48" s="27"/>
      <c r="AME48" s="27"/>
      <c r="AMF48" s="27"/>
      <c r="AMG48" s="27"/>
      <c r="AMH48" s="27"/>
      <c r="AMI48" s="27"/>
      <c r="AMJ48" s="27"/>
      <c r="AMK48" s="27"/>
    </row>
    <row r="49" spans="1:1025" ht="15.75">
      <c r="A49" s="93" t="s">
        <v>15</v>
      </c>
      <c r="B49" s="107"/>
      <c r="C49" s="61" t="s">
        <v>127</v>
      </c>
      <c r="D49" s="55" t="s">
        <v>124</v>
      </c>
      <c r="E49" s="56">
        <v>1</v>
      </c>
      <c r="F49" s="91" t="b">
        <v>0</v>
      </c>
      <c r="G49" s="57">
        <v>9</v>
      </c>
      <c r="H49" s="57">
        <v>1.3</v>
      </c>
      <c r="I49" s="56" t="s">
        <v>63</v>
      </c>
      <c r="J49" s="56" t="s">
        <v>64</v>
      </c>
      <c r="K49" s="57">
        <f>G49+0.3</f>
        <v>9.3000000000000007</v>
      </c>
      <c r="L49" s="57">
        <f>H49+0.3</f>
        <v>1.6</v>
      </c>
      <c r="M49" s="58">
        <f t="shared" si="8"/>
        <v>0</v>
      </c>
      <c r="N49" s="101"/>
      <c r="O49" s="100"/>
      <c r="P49" s="58"/>
      <c r="Q49" s="16"/>
      <c r="R49" s="46"/>
      <c r="S49" s="50"/>
      <c r="T49" s="48"/>
      <c r="U49" s="48"/>
      <c r="V49" s="113"/>
      <c r="W49" s="46"/>
      <c r="X49" s="49"/>
      <c r="Y49" s="49"/>
      <c r="Z49" s="49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  <c r="UU49" s="27"/>
      <c r="UV49" s="27"/>
      <c r="UW49" s="27"/>
      <c r="UX49" s="27"/>
      <c r="UY49" s="27"/>
      <c r="UZ49" s="27"/>
      <c r="VA49" s="27"/>
      <c r="VB49" s="27"/>
      <c r="VC49" s="27"/>
      <c r="VD49" s="27"/>
      <c r="VE49" s="27"/>
      <c r="VF49" s="27"/>
      <c r="VG49" s="27"/>
      <c r="VH49" s="27"/>
      <c r="VI49" s="27"/>
      <c r="VJ49" s="27"/>
      <c r="VK49" s="27"/>
      <c r="VL49" s="27"/>
      <c r="VM49" s="27"/>
      <c r="VN49" s="27"/>
      <c r="VO49" s="27"/>
      <c r="VP49" s="27"/>
      <c r="VQ49" s="27"/>
      <c r="VR49" s="27"/>
      <c r="VS49" s="27"/>
      <c r="VT49" s="27"/>
      <c r="VU49" s="27"/>
      <c r="VV49" s="27"/>
      <c r="VW49" s="27"/>
      <c r="VX49" s="27"/>
      <c r="VY49" s="27"/>
      <c r="VZ49" s="27"/>
      <c r="WA49" s="27"/>
      <c r="WB49" s="27"/>
      <c r="WC49" s="27"/>
      <c r="WD49" s="27"/>
      <c r="WE49" s="27"/>
      <c r="WF49" s="27"/>
      <c r="WG49" s="27"/>
      <c r="WH49" s="27"/>
      <c r="WI49" s="27"/>
      <c r="WJ49" s="27"/>
      <c r="WK49" s="27"/>
      <c r="WL49" s="27"/>
      <c r="WM49" s="27"/>
      <c r="WN49" s="27"/>
      <c r="WO49" s="27"/>
      <c r="WP49" s="27"/>
      <c r="WQ49" s="27"/>
      <c r="WR49" s="27"/>
      <c r="WS49" s="27"/>
      <c r="WT49" s="27"/>
      <c r="WU49" s="27"/>
      <c r="WV49" s="27"/>
      <c r="WW49" s="27"/>
      <c r="WX49" s="27"/>
      <c r="WY49" s="27"/>
      <c r="WZ49" s="27"/>
      <c r="XA49" s="27"/>
      <c r="XB49" s="27"/>
      <c r="XC49" s="27"/>
      <c r="XD49" s="27"/>
      <c r="XE49" s="27"/>
      <c r="XF49" s="27"/>
      <c r="XG49" s="27"/>
      <c r="XH49" s="27"/>
      <c r="XI49" s="27"/>
      <c r="XJ49" s="27"/>
      <c r="XK49" s="27"/>
      <c r="XL49" s="27"/>
      <c r="XM49" s="27"/>
      <c r="XN49" s="27"/>
      <c r="XO49" s="27"/>
      <c r="XP49" s="27"/>
      <c r="XQ49" s="27"/>
      <c r="XR49" s="27"/>
      <c r="XS49" s="27"/>
      <c r="XT49" s="27"/>
      <c r="XU49" s="27"/>
      <c r="XV49" s="27"/>
      <c r="XW49" s="27"/>
      <c r="XX49" s="27"/>
      <c r="XY49" s="27"/>
      <c r="XZ49" s="27"/>
      <c r="YA49" s="27"/>
      <c r="YB49" s="27"/>
      <c r="YC49" s="27"/>
      <c r="YD49" s="27"/>
      <c r="YE49" s="27"/>
      <c r="YF49" s="27"/>
      <c r="YG49" s="27"/>
      <c r="YH49" s="27"/>
      <c r="YI49" s="27"/>
      <c r="YJ49" s="27"/>
      <c r="YK49" s="27"/>
      <c r="YL49" s="27"/>
      <c r="YM49" s="27"/>
      <c r="YN49" s="27"/>
      <c r="YO49" s="27"/>
      <c r="YP49" s="27"/>
      <c r="YQ49" s="27"/>
      <c r="YR49" s="27"/>
      <c r="YS49" s="27"/>
      <c r="YT49" s="27"/>
      <c r="YU49" s="27"/>
      <c r="YV49" s="27"/>
      <c r="YW49" s="27"/>
      <c r="YX49" s="27"/>
      <c r="YY49" s="27"/>
      <c r="YZ49" s="27"/>
      <c r="ZA49" s="27"/>
      <c r="ZB49" s="27"/>
      <c r="ZC49" s="27"/>
      <c r="ZD49" s="27"/>
      <c r="ZE49" s="27"/>
      <c r="ZF49" s="27"/>
      <c r="ZG49" s="27"/>
      <c r="ZH49" s="27"/>
      <c r="ZI49" s="27"/>
      <c r="ZJ49" s="27"/>
      <c r="ZK49" s="27"/>
      <c r="ZL49" s="27"/>
      <c r="ZM49" s="27"/>
      <c r="ZN49" s="27"/>
      <c r="ZO49" s="27"/>
      <c r="ZP49" s="27"/>
      <c r="ZQ49" s="27"/>
      <c r="ZR49" s="27"/>
      <c r="ZS49" s="27"/>
      <c r="ZT49" s="27"/>
      <c r="ZU49" s="27"/>
      <c r="ZV49" s="27"/>
      <c r="ZW49" s="27"/>
      <c r="ZX49" s="27"/>
      <c r="ZY49" s="27"/>
      <c r="ZZ49" s="27"/>
      <c r="AAA49" s="27"/>
      <c r="AAB49" s="27"/>
      <c r="AAC49" s="27"/>
      <c r="AAD49" s="27"/>
      <c r="AAE49" s="27"/>
      <c r="AAF49" s="27"/>
      <c r="AAG49" s="27"/>
      <c r="AAH49" s="27"/>
      <c r="AAI49" s="27"/>
      <c r="AAJ49" s="27"/>
      <c r="AAK49" s="27"/>
      <c r="AAL49" s="27"/>
      <c r="AAM49" s="27"/>
      <c r="AAN49" s="27"/>
      <c r="AAO49" s="27"/>
      <c r="AAP49" s="27"/>
      <c r="AAQ49" s="27"/>
      <c r="AAR49" s="27"/>
      <c r="AAS49" s="27"/>
      <c r="AAT49" s="27"/>
      <c r="AAU49" s="27"/>
      <c r="AAV49" s="27"/>
      <c r="AAW49" s="27"/>
      <c r="AAX49" s="27"/>
      <c r="AAY49" s="27"/>
      <c r="AAZ49" s="27"/>
      <c r="ABA49" s="27"/>
      <c r="ABB49" s="27"/>
      <c r="ABC49" s="27"/>
      <c r="ABD49" s="27"/>
      <c r="ABE49" s="27"/>
      <c r="ABF49" s="27"/>
      <c r="ABG49" s="27"/>
      <c r="ABH49" s="27"/>
      <c r="ABI49" s="27"/>
      <c r="ABJ49" s="27"/>
      <c r="ABK49" s="27"/>
      <c r="ABL49" s="27"/>
      <c r="ABM49" s="27"/>
      <c r="ABN49" s="27"/>
      <c r="ABO49" s="27"/>
      <c r="ABP49" s="27"/>
      <c r="ABQ49" s="27"/>
      <c r="ABR49" s="27"/>
      <c r="ABS49" s="27"/>
      <c r="ABT49" s="27"/>
      <c r="ABU49" s="27"/>
      <c r="ABV49" s="27"/>
      <c r="ABW49" s="27"/>
      <c r="ABX49" s="27"/>
      <c r="ABY49" s="27"/>
      <c r="ABZ49" s="27"/>
      <c r="ACA49" s="27"/>
      <c r="ACB49" s="27"/>
      <c r="ACC49" s="27"/>
      <c r="ACD49" s="27"/>
      <c r="ACE49" s="27"/>
      <c r="ACF49" s="27"/>
      <c r="ACG49" s="27"/>
      <c r="ACH49" s="27"/>
      <c r="ACI49" s="27"/>
      <c r="ACJ49" s="27"/>
      <c r="ACK49" s="27"/>
      <c r="ACL49" s="27"/>
      <c r="ACM49" s="27"/>
      <c r="ACN49" s="27"/>
      <c r="ACO49" s="27"/>
      <c r="ACP49" s="27"/>
      <c r="ACQ49" s="27"/>
      <c r="ACR49" s="27"/>
      <c r="ACS49" s="27"/>
      <c r="ACT49" s="27"/>
      <c r="ACU49" s="27"/>
      <c r="ACV49" s="27"/>
      <c r="ACW49" s="27"/>
      <c r="ACX49" s="27"/>
      <c r="ACY49" s="27"/>
      <c r="ACZ49" s="27"/>
      <c r="ADA49" s="27"/>
      <c r="ADB49" s="27"/>
      <c r="ADC49" s="27"/>
      <c r="ADD49" s="27"/>
      <c r="ADE49" s="27"/>
      <c r="ADF49" s="27"/>
      <c r="ADG49" s="27"/>
      <c r="ADH49" s="27"/>
      <c r="ADI49" s="27"/>
      <c r="ADJ49" s="27"/>
      <c r="ADK49" s="27"/>
      <c r="ADL49" s="27"/>
      <c r="ADM49" s="27"/>
      <c r="ADN49" s="27"/>
      <c r="ADO49" s="27"/>
      <c r="ADP49" s="27"/>
      <c r="ADQ49" s="27"/>
      <c r="ADR49" s="27"/>
      <c r="ADS49" s="27"/>
      <c r="ADT49" s="27"/>
      <c r="ADU49" s="27"/>
      <c r="ADV49" s="27"/>
      <c r="ADW49" s="27"/>
      <c r="ADX49" s="27"/>
      <c r="ADY49" s="27"/>
      <c r="ADZ49" s="27"/>
      <c r="AEA49" s="27"/>
      <c r="AEB49" s="27"/>
      <c r="AEC49" s="27"/>
      <c r="AED49" s="27"/>
      <c r="AEE49" s="27"/>
      <c r="AEF49" s="27"/>
      <c r="AEG49" s="27"/>
      <c r="AEH49" s="27"/>
      <c r="AEI49" s="27"/>
      <c r="AEJ49" s="27"/>
      <c r="AEK49" s="27"/>
      <c r="AEL49" s="27"/>
      <c r="AEM49" s="27"/>
      <c r="AEN49" s="27"/>
      <c r="AEO49" s="27"/>
      <c r="AEP49" s="27"/>
      <c r="AEQ49" s="27"/>
      <c r="AER49" s="27"/>
      <c r="AES49" s="27"/>
      <c r="AET49" s="27"/>
      <c r="AEU49" s="27"/>
      <c r="AEV49" s="27"/>
      <c r="AEW49" s="27"/>
      <c r="AEX49" s="27"/>
      <c r="AEY49" s="27"/>
      <c r="AEZ49" s="27"/>
      <c r="AFA49" s="27"/>
      <c r="AFB49" s="27"/>
      <c r="AFC49" s="27"/>
      <c r="AFD49" s="27"/>
      <c r="AFE49" s="27"/>
      <c r="AFF49" s="27"/>
      <c r="AFG49" s="27"/>
      <c r="AFH49" s="27"/>
      <c r="AFI49" s="27"/>
      <c r="AFJ49" s="27"/>
      <c r="AFK49" s="27"/>
      <c r="AFL49" s="27"/>
      <c r="AFM49" s="27"/>
      <c r="AFN49" s="27"/>
      <c r="AFO49" s="27"/>
      <c r="AFP49" s="27"/>
      <c r="AFQ49" s="27"/>
      <c r="AFR49" s="27"/>
      <c r="AFS49" s="27"/>
      <c r="AFT49" s="27"/>
      <c r="AFU49" s="27"/>
      <c r="AFV49" s="27"/>
      <c r="AFW49" s="27"/>
      <c r="AFX49" s="27"/>
      <c r="AFY49" s="27"/>
      <c r="AFZ49" s="27"/>
      <c r="AGA49" s="27"/>
      <c r="AGB49" s="27"/>
      <c r="AGC49" s="27"/>
      <c r="AGD49" s="27"/>
      <c r="AGE49" s="27"/>
      <c r="AGF49" s="27"/>
      <c r="AGG49" s="27"/>
      <c r="AGH49" s="27"/>
      <c r="AGI49" s="27"/>
      <c r="AGJ49" s="27"/>
      <c r="AGK49" s="27"/>
      <c r="AGL49" s="27"/>
      <c r="AGM49" s="27"/>
      <c r="AGN49" s="27"/>
      <c r="AGO49" s="27"/>
      <c r="AGP49" s="27"/>
      <c r="AGQ49" s="27"/>
      <c r="AGR49" s="27"/>
      <c r="AGS49" s="27"/>
      <c r="AGT49" s="27"/>
      <c r="AGU49" s="27"/>
      <c r="AGV49" s="27"/>
      <c r="AGW49" s="27"/>
      <c r="AGX49" s="27"/>
      <c r="AGY49" s="27"/>
      <c r="AGZ49" s="27"/>
      <c r="AHA49" s="27"/>
      <c r="AHB49" s="27"/>
      <c r="AHC49" s="27"/>
      <c r="AHD49" s="27"/>
      <c r="AHE49" s="27"/>
      <c r="AHF49" s="27"/>
      <c r="AHG49" s="27"/>
      <c r="AHH49" s="27"/>
      <c r="AHI49" s="27"/>
      <c r="AHJ49" s="27"/>
      <c r="AHK49" s="27"/>
      <c r="AHL49" s="27"/>
      <c r="AHM49" s="27"/>
      <c r="AHN49" s="27"/>
      <c r="AHO49" s="27"/>
      <c r="AHP49" s="27"/>
      <c r="AHQ49" s="27"/>
      <c r="AHR49" s="27"/>
      <c r="AHS49" s="27"/>
      <c r="AHT49" s="27"/>
      <c r="AHU49" s="27"/>
      <c r="AHV49" s="27"/>
      <c r="AHW49" s="27"/>
      <c r="AHX49" s="27"/>
      <c r="AHY49" s="27"/>
      <c r="AHZ49" s="27"/>
      <c r="AIA49" s="27"/>
      <c r="AIB49" s="27"/>
      <c r="AIC49" s="27"/>
      <c r="AID49" s="27"/>
      <c r="AIE49" s="27"/>
      <c r="AIF49" s="27"/>
      <c r="AIG49" s="27"/>
      <c r="AIH49" s="27"/>
      <c r="AII49" s="27"/>
      <c r="AIJ49" s="27"/>
      <c r="AIK49" s="27"/>
      <c r="AIL49" s="27"/>
      <c r="AIM49" s="27"/>
      <c r="AIN49" s="27"/>
      <c r="AIO49" s="27"/>
      <c r="AIP49" s="27"/>
      <c r="AIQ49" s="27"/>
      <c r="AIR49" s="27"/>
      <c r="AIS49" s="27"/>
      <c r="AIT49" s="27"/>
      <c r="AIU49" s="27"/>
      <c r="AIV49" s="27"/>
      <c r="AIW49" s="27"/>
      <c r="AIX49" s="27"/>
      <c r="AIY49" s="27"/>
      <c r="AIZ49" s="27"/>
      <c r="AJA49" s="27"/>
      <c r="AJB49" s="27"/>
      <c r="AJC49" s="27"/>
      <c r="AJD49" s="27"/>
      <c r="AJE49" s="27"/>
      <c r="AJF49" s="27"/>
      <c r="AJG49" s="27"/>
      <c r="AJH49" s="27"/>
      <c r="AJI49" s="27"/>
      <c r="AJJ49" s="27"/>
      <c r="AJK49" s="27"/>
      <c r="AJL49" s="27"/>
      <c r="AJM49" s="27"/>
      <c r="AJN49" s="27"/>
      <c r="AJO49" s="27"/>
      <c r="AJP49" s="27"/>
      <c r="AJQ49" s="27"/>
      <c r="AJR49" s="27"/>
      <c r="AJS49" s="27"/>
      <c r="AJT49" s="27"/>
      <c r="AJU49" s="27"/>
      <c r="AJV49" s="27"/>
      <c r="AJW49" s="27"/>
      <c r="AJX49" s="27"/>
      <c r="AJY49" s="27"/>
      <c r="AJZ49" s="27"/>
      <c r="AKA49" s="27"/>
      <c r="AKB49" s="27"/>
      <c r="AKC49" s="27"/>
      <c r="AKD49" s="27"/>
      <c r="AKE49" s="27"/>
      <c r="AKF49" s="27"/>
      <c r="AKG49" s="27"/>
      <c r="AKH49" s="27"/>
      <c r="AKI49" s="27"/>
      <c r="AKJ49" s="27"/>
      <c r="AKK49" s="27"/>
      <c r="AKL49" s="27"/>
      <c r="AKM49" s="27"/>
      <c r="AKN49" s="27"/>
      <c r="AKO49" s="27"/>
      <c r="AKP49" s="27"/>
      <c r="AKQ49" s="27"/>
      <c r="AKR49" s="27"/>
      <c r="AKS49" s="27"/>
      <c r="AKT49" s="27"/>
      <c r="AKU49" s="27"/>
      <c r="AKV49" s="27"/>
      <c r="AKW49" s="27"/>
      <c r="AKX49" s="27"/>
      <c r="AKY49" s="27"/>
      <c r="AKZ49" s="27"/>
      <c r="ALA49" s="27"/>
      <c r="ALB49" s="27"/>
      <c r="ALC49" s="27"/>
      <c r="ALD49" s="27"/>
      <c r="ALE49" s="27"/>
      <c r="ALF49" s="27"/>
      <c r="ALG49" s="27"/>
      <c r="ALH49" s="27"/>
      <c r="ALI49" s="27"/>
      <c r="ALJ49" s="27"/>
      <c r="ALK49" s="27"/>
      <c r="ALL49" s="27"/>
      <c r="ALM49" s="27"/>
      <c r="ALN49" s="27"/>
      <c r="ALO49" s="27"/>
      <c r="ALP49" s="27"/>
      <c r="ALQ49" s="27"/>
      <c r="ALR49" s="27"/>
      <c r="ALS49" s="27"/>
      <c r="ALT49" s="27"/>
      <c r="ALU49" s="27"/>
      <c r="ALV49" s="27"/>
      <c r="ALW49" s="27"/>
      <c r="ALX49" s="27"/>
      <c r="ALY49" s="27"/>
      <c r="ALZ49" s="27"/>
      <c r="AMA49" s="27"/>
      <c r="AMB49" s="27"/>
      <c r="AMC49" s="27"/>
      <c r="AMD49" s="27"/>
      <c r="AME49" s="27"/>
      <c r="AMF49" s="27"/>
      <c r="AMG49" s="27"/>
      <c r="AMH49" s="27"/>
      <c r="AMI49" s="27"/>
      <c r="AMJ49" s="27"/>
      <c r="AMK49" s="27"/>
    </row>
    <row r="50" spans="1:1025" ht="15.75">
      <c r="A50" s="93" t="s">
        <v>15</v>
      </c>
      <c r="B50" s="107"/>
      <c r="C50" s="61" t="s">
        <v>128</v>
      </c>
      <c r="D50" s="55" t="s">
        <v>126</v>
      </c>
      <c r="E50" s="56">
        <v>1</v>
      </c>
      <c r="F50" s="91" t="b">
        <v>0</v>
      </c>
      <c r="G50" s="57">
        <v>8.3000000000000007</v>
      </c>
      <c r="H50" s="57">
        <v>2.2999999999999998</v>
      </c>
      <c r="I50" s="56" t="s">
        <v>63</v>
      </c>
      <c r="J50" s="56" t="s">
        <v>20</v>
      </c>
      <c r="K50" s="57">
        <v>8.3000000000000007</v>
      </c>
      <c r="L50" s="57">
        <v>2.2999999999999998</v>
      </c>
      <c r="M50" s="58">
        <f t="shared" si="8"/>
        <v>0</v>
      </c>
      <c r="N50" s="101"/>
      <c r="O50" s="100"/>
      <c r="P50" s="58"/>
      <c r="Q50" s="16"/>
      <c r="R50" s="46"/>
      <c r="S50" s="50"/>
      <c r="T50" s="48"/>
      <c r="U50" s="48"/>
      <c r="V50" s="113"/>
      <c r="W50" s="46"/>
      <c r="X50" s="49"/>
      <c r="Y50" s="49"/>
      <c r="Z50" s="49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/>
      <c r="SX50" s="27"/>
      <c r="SY50" s="27"/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  <c r="UU50" s="27"/>
      <c r="UV50" s="27"/>
      <c r="UW50" s="27"/>
      <c r="UX50" s="27"/>
      <c r="UY50" s="27"/>
      <c r="UZ50" s="27"/>
      <c r="VA50" s="27"/>
      <c r="VB50" s="27"/>
      <c r="VC50" s="27"/>
      <c r="VD50" s="27"/>
      <c r="VE50" s="27"/>
      <c r="VF50" s="27"/>
      <c r="VG50" s="27"/>
      <c r="VH50" s="27"/>
      <c r="VI50" s="27"/>
      <c r="VJ50" s="27"/>
      <c r="VK50" s="27"/>
      <c r="VL50" s="27"/>
      <c r="VM50" s="27"/>
      <c r="VN50" s="27"/>
      <c r="VO50" s="27"/>
      <c r="VP50" s="27"/>
      <c r="VQ50" s="27"/>
      <c r="VR50" s="27"/>
      <c r="VS50" s="27"/>
      <c r="VT50" s="27"/>
      <c r="VU50" s="27"/>
      <c r="VV50" s="27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7"/>
      <c r="WP50" s="27"/>
      <c r="WQ50" s="27"/>
      <c r="WR50" s="27"/>
      <c r="WS50" s="27"/>
      <c r="WT50" s="27"/>
      <c r="WU50" s="27"/>
      <c r="WV50" s="27"/>
      <c r="WW50" s="27"/>
      <c r="WX50" s="27"/>
      <c r="WY50" s="27"/>
      <c r="WZ50" s="27"/>
      <c r="XA50" s="27"/>
      <c r="XB50" s="27"/>
      <c r="XC50" s="27"/>
      <c r="XD50" s="27"/>
      <c r="XE50" s="27"/>
      <c r="XF50" s="27"/>
      <c r="XG50" s="27"/>
      <c r="XH50" s="27"/>
      <c r="XI50" s="27"/>
      <c r="XJ50" s="27"/>
      <c r="XK50" s="27"/>
      <c r="XL50" s="27"/>
      <c r="XM50" s="27"/>
      <c r="XN50" s="27"/>
      <c r="XO50" s="27"/>
      <c r="XP50" s="27"/>
      <c r="XQ50" s="27"/>
      <c r="XR50" s="27"/>
      <c r="XS50" s="27"/>
      <c r="XT50" s="27"/>
      <c r="XU50" s="27"/>
      <c r="XV50" s="27"/>
      <c r="XW50" s="27"/>
      <c r="XX50" s="27"/>
      <c r="XY50" s="27"/>
      <c r="XZ50" s="27"/>
      <c r="YA50" s="27"/>
      <c r="YB50" s="27"/>
      <c r="YC50" s="27"/>
      <c r="YD50" s="27"/>
      <c r="YE50" s="27"/>
      <c r="YF50" s="27"/>
      <c r="YG50" s="27"/>
      <c r="YH50" s="27"/>
      <c r="YI50" s="27"/>
      <c r="YJ50" s="27"/>
      <c r="YK50" s="27"/>
      <c r="YL50" s="27"/>
      <c r="YM50" s="27"/>
      <c r="YN50" s="27"/>
      <c r="YO50" s="27"/>
      <c r="YP50" s="27"/>
      <c r="YQ50" s="27"/>
      <c r="YR50" s="27"/>
      <c r="YS50" s="27"/>
      <c r="YT50" s="27"/>
      <c r="YU50" s="27"/>
      <c r="YV50" s="27"/>
      <c r="YW50" s="27"/>
      <c r="YX50" s="27"/>
      <c r="YY50" s="27"/>
      <c r="YZ50" s="27"/>
      <c r="ZA50" s="27"/>
      <c r="ZB50" s="27"/>
      <c r="ZC50" s="27"/>
      <c r="ZD50" s="27"/>
      <c r="ZE50" s="27"/>
      <c r="ZF50" s="27"/>
      <c r="ZG50" s="27"/>
      <c r="ZH50" s="27"/>
      <c r="ZI50" s="27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7"/>
      <c r="AAC50" s="27"/>
      <c r="AAD50" s="27"/>
      <c r="AAE50" s="27"/>
      <c r="AAF50" s="27"/>
      <c r="AAG50" s="27"/>
      <c r="AAH50" s="27"/>
      <c r="AAI50" s="27"/>
      <c r="AAJ50" s="27"/>
      <c r="AAK50" s="27"/>
      <c r="AAL50" s="27"/>
      <c r="AAM50" s="27"/>
      <c r="AAN50" s="27"/>
      <c r="AAO50" s="27"/>
      <c r="AAP50" s="27"/>
      <c r="AAQ50" s="27"/>
      <c r="AAR50" s="27"/>
      <c r="AAS50" s="27"/>
      <c r="AAT50" s="27"/>
      <c r="AAU50" s="27"/>
      <c r="AAV50" s="27"/>
      <c r="AAW50" s="27"/>
      <c r="AAX50" s="27"/>
      <c r="AAY50" s="27"/>
      <c r="AAZ50" s="27"/>
      <c r="ABA50" s="27"/>
      <c r="ABB50" s="27"/>
      <c r="ABC50" s="27"/>
      <c r="ABD50" s="27"/>
      <c r="ABE50" s="27"/>
      <c r="ABF50" s="27"/>
      <c r="ABG50" s="27"/>
      <c r="ABH50" s="27"/>
      <c r="ABI50" s="27"/>
      <c r="ABJ50" s="27"/>
      <c r="ABK50" s="27"/>
      <c r="ABL50" s="27"/>
      <c r="ABM50" s="27"/>
      <c r="ABN50" s="27"/>
      <c r="ABO50" s="27"/>
      <c r="ABP50" s="27"/>
      <c r="ABQ50" s="27"/>
      <c r="ABR50" s="27"/>
      <c r="ABS50" s="27"/>
      <c r="ABT50" s="27"/>
      <c r="ABU50" s="27"/>
      <c r="ABV50" s="27"/>
      <c r="ABW50" s="27"/>
      <c r="ABX50" s="27"/>
      <c r="ABY50" s="27"/>
      <c r="ABZ50" s="27"/>
      <c r="ACA50" s="27"/>
      <c r="ACB50" s="27"/>
      <c r="ACC50" s="27"/>
      <c r="ACD50" s="27"/>
      <c r="ACE50" s="27"/>
      <c r="ACF50" s="27"/>
      <c r="ACG50" s="27"/>
      <c r="ACH50" s="27"/>
      <c r="ACI50" s="27"/>
      <c r="ACJ50" s="27"/>
      <c r="ACK50" s="27"/>
      <c r="ACL50" s="27"/>
      <c r="ACM50" s="27"/>
      <c r="ACN50" s="27"/>
      <c r="ACO50" s="27"/>
      <c r="ACP50" s="27"/>
      <c r="ACQ50" s="27"/>
      <c r="ACR50" s="27"/>
      <c r="ACS50" s="27"/>
      <c r="ACT50" s="27"/>
      <c r="ACU50" s="27"/>
      <c r="ACV50" s="27"/>
      <c r="ACW50" s="27"/>
      <c r="ACX50" s="27"/>
      <c r="ACY50" s="27"/>
      <c r="ACZ50" s="27"/>
      <c r="ADA50" s="27"/>
      <c r="ADB50" s="27"/>
      <c r="ADC50" s="27"/>
      <c r="ADD50" s="27"/>
      <c r="ADE50" s="27"/>
      <c r="ADF50" s="27"/>
      <c r="ADG50" s="27"/>
      <c r="ADH50" s="27"/>
      <c r="ADI50" s="27"/>
      <c r="ADJ50" s="27"/>
      <c r="ADK50" s="27"/>
      <c r="ADL50" s="27"/>
      <c r="ADM50" s="27"/>
      <c r="ADN50" s="27"/>
      <c r="ADO50" s="27"/>
      <c r="ADP50" s="27"/>
      <c r="ADQ50" s="27"/>
      <c r="ADR50" s="27"/>
      <c r="ADS50" s="27"/>
      <c r="ADT50" s="27"/>
      <c r="ADU50" s="27"/>
      <c r="ADV50" s="27"/>
      <c r="ADW50" s="27"/>
      <c r="ADX50" s="27"/>
      <c r="ADY50" s="27"/>
      <c r="ADZ50" s="27"/>
      <c r="AEA50" s="27"/>
      <c r="AEB50" s="27"/>
      <c r="AEC50" s="27"/>
      <c r="AED50" s="27"/>
      <c r="AEE50" s="27"/>
      <c r="AEF50" s="27"/>
      <c r="AEG50" s="27"/>
      <c r="AEH50" s="27"/>
      <c r="AEI50" s="27"/>
      <c r="AEJ50" s="27"/>
      <c r="AEK50" s="27"/>
      <c r="AEL50" s="27"/>
      <c r="AEM50" s="27"/>
      <c r="AEN50" s="27"/>
      <c r="AEO50" s="27"/>
      <c r="AEP50" s="27"/>
      <c r="AEQ50" s="27"/>
      <c r="AER50" s="27"/>
      <c r="AES50" s="27"/>
      <c r="AET50" s="27"/>
      <c r="AEU50" s="27"/>
      <c r="AEV50" s="27"/>
      <c r="AEW50" s="27"/>
      <c r="AEX50" s="27"/>
      <c r="AEY50" s="27"/>
      <c r="AEZ50" s="27"/>
      <c r="AFA50" s="27"/>
      <c r="AFB50" s="27"/>
      <c r="AFC50" s="27"/>
      <c r="AFD50" s="27"/>
      <c r="AFE50" s="27"/>
      <c r="AFF50" s="27"/>
      <c r="AFG50" s="27"/>
      <c r="AFH50" s="27"/>
      <c r="AFI50" s="27"/>
      <c r="AFJ50" s="27"/>
      <c r="AFK50" s="27"/>
      <c r="AFL50" s="27"/>
      <c r="AFM50" s="27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  <c r="AIB50" s="27"/>
      <c r="AIC50" s="27"/>
      <c r="AID50" s="27"/>
      <c r="AIE50" s="27"/>
      <c r="AIF50" s="27"/>
      <c r="AIG50" s="27"/>
      <c r="AIH50" s="27"/>
      <c r="AII50" s="27"/>
      <c r="AIJ50" s="27"/>
      <c r="AIK50" s="27"/>
      <c r="AIL50" s="27"/>
      <c r="AIM50" s="27"/>
      <c r="AIN50" s="27"/>
      <c r="AIO50" s="27"/>
      <c r="AIP50" s="27"/>
      <c r="AIQ50" s="27"/>
      <c r="AIR50" s="27"/>
      <c r="AIS50" s="27"/>
      <c r="AIT50" s="27"/>
      <c r="AIU50" s="27"/>
      <c r="AIV50" s="27"/>
      <c r="AIW50" s="27"/>
      <c r="AIX50" s="27"/>
      <c r="AIY50" s="27"/>
      <c r="AIZ50" s="27"/>
      <c r="AJA50" s="27"/>
      <c r="AJB50" s="27"/>
      <c r="AJC50" s="27"/>
      <c r="AJD50" s="27"/>
      <c r="AJE50" s="27"/>
      <c r="AJF50" s="27"/>
      <c r="AJG50" s="27"/>
      <c r="AJH50" s="27"/>
      <c r="AJI50" s="27"/>
      <c r="AJJ50" s="27"/>
      <c r="AJK50" s="27"/>
      <c r="AJL50" s="27"/>
      <c r="AJM50" s="27"/>
      <c r="AJN50" s="27"/>
      <c r="AJO50" s="27"/>
      <c r="AJP50" s="27"/>
      <c r="AJQ50" s="27"/>
      <c r="AJR50" s="27"/>
      <c r="AJS50" s="27"/>
      <c r="AJT50" s="27"/>
      <c r="AJU50" s="27"/>
      <c r="AJV50" s="27"/>
      <c r="AJW50" s="27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7"/>
      <c r="AKP50" s="27"/>
      <c r="AKQ50" s="27"/>
      <c r="AKR50" s="27"/>
      <c r="AKS50" s="27"/>
      <c r="AKT50" s="27"/>
      <c r="AKU50" s="27"/>
      <c r="AKV50" s="27"/>
      <c r="AKW50" s="27"/>
      <c r="AKX50" s="27"/>
      <c r="AKY50" s="27"/>
      <c r="AKZ50" s="27"/>
      <c r="ALA50" s="27"/>
      <c r="ALB50" s="27"/>
      <c r="ALC50" s="27"/>
      <c r="ALD50" s="27"/>
      <c r="ALE50" s="27"/>
      <c r="ALF50" s="27"/>
      <c r="ALG50" s="27"/>
      <c r="ALH50" s="27"/>
      <c r="ALI50" s="27"/>
      <c r="ALJ50" s="27"/>
      <c r="ALK50" s="27"/>
      <c r="ALL50" s="27"/>
      <c r="ALM50" s="27"/>
      <c r="ALN50" s="27"/>
      <c r="ALO50" s="27"/>
      <c r="ALP50" s="27"/>
      <c r="ALQ50" s="27"/>
      <c r="ALR50" s="27"/>
      <c r="ALS50" s="27"/>
      <c r="ALT50" s="27"/>
      <c r="ALU50" s="27"/>
      <c r="ALV50" s="27"/>
      <c r="ALW50" s="27"/>
      <c r="ALX50" s="27"/>
      <c r="ALY50" s="27"/>
      <c r="ALZ50" s="27"/>
      <c r="AMA50" s="27"/>
      <c r="AMB50" s="27"/>
      <c r="AMC50" s="27"/>
      <c r="AMD50" s="27"/>
      <c r="AME50" s="27"/>
      <c r="AMF50" s="27"/>
      <c r="AMG50" s="27"/>
      <c r="AMH50" s="27"/>
      <c r="AMI50" s="27"/>
      <c r="AMJ50" s="27"/>
      <c r="AMK50" s="27"/>
    </row>
    <row r="51" spans="1:1025" ht="15.75">
      <c r="A51" s="28" t="s">
        <v>15</v>
      </c>
      <c r="B51" s="117" t="s">
        <v>129</v>
      </c>
      <c r="C51" s="62"/>
      <c r="D51" s="62" t="s">
        <v>130</v>
      </c>
      <c r="E51" s="63">
        <v>1</v>
      </c>
      <c r="F51" s="91" t="b">
        <v>0</v>
      </c>
      <c r="G51" s="64">
        <v>0.9</v>
      </c>
      <c r="H51" s="64">
        <v>1.9</v>
      </c>
      <c r="I51" s="63" t="s">
        <v>63</v>
      </c>
      <c r="J51" s="63" t="s">
        <v>78</v>
      </c>
      <c r="K51" s="64">
        <v>0.9</v>
      </c>
      <c r="L51" s="64">
        <v>1.9</v>
      </c>
      <c r="M51" s="65">
        <f t="shared" ref="M51:M73" si="9">L51*K51*E51</f>
        <v>1.71</v>
      </c>
      <c r="N51" s="101"/>
      <c r="O51" s="100"/>
      <c r="P51" s="58"/>
      <c r="Q51" s="16"/>
      <c r="R51" s="46"/>
      <c r="S51" s="46"/>
      <c r="T51" s="46"/>
      <c r="U51" s="46"/>
      <c r="V51" s="46"/>
      <c r="W51" s="46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4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49"/>
      <c r="JA51" s="49"/>
      <c r="JB51" s="49"/>
      <c r="JC51" s="49"/>
      <c r="JD51" s="49"/>
      <c r="JE51" s="49"/>
      <c r="JF51" s="49"/>
      <c r="JG51" s="49"/>
      <c r="JH51" s="49"/>
      <c r="JI51" s="49"/>
      <c r="JJ51" s="49"/>
      <c r="JK51" s="49"/>
      <c r="JL51" s="49"/>
      <c r="JM51" s="49"/>
      <c r="JN51" s="49"/>
      <c r="JO51" s="49"/>
      <c r="JP51" s="49"/>
      <c r="JQ51" s="49"/>
      <c r="JR51" s="49"/>
      <c r="JS51" s="49"/>
      <c r="JT51" s="49"/>
      <c r="JU51" s="49"/>
      <c r="JV51" s="49"/>
      <c r="JW51" s="49"/>
      <c r="JX51" s="49"/>
      <c r="JY51" s="49"/>
      <c r="JZ51" s="49"/>
      <c r="KA51" s="49"/>
      <c r="KB51" s="49"/>
      <c r="KC51" s="49"/>
      <c r="KD51" s="49"/>
      <c r="KE51" s="49"/>
      <c r="KF51" s="49"/>
      <c r="KG51" s="49"/>
      <c r="KH51" s="49"/>
      <c r="KI51" s="49"/>
      <c r="KJ51" s="49"/>
      <c r="KK51" s="49"/>
      <c r="KL51" s="49"/>
      <c r="KM51" s="49"/>
      <c r="KN51" s="49"/>
      <c r="KO51" s="49"/>
      <c r="KP51" s="49"/>
      <c r="KQ51" s="49"/>
      <c r="KR51" s="49"/>
      <c r="KS51" s="49"/>
      <c r="KT51" s="49"/>
      <c r="KU51" s="49"/>
      <c r="KV51" s="49"/>
      <c r="KW51" s="49"/>
      <c r="KX51" s="49"/>
      <c r="KY51" s="49"/>
      <c r="KZ51" s="49"/>
      <c r="LA51" s="49"/>
      <c r="LB51" s="49"/>
      <c r="LC51" s="49"/>
      <c r="LD51" s="49"/>
      <c r="LE51" s="49"/>
      <c r="LF51" s="49"/>
      <c r="LG51" s="49"/>
      <c r="LH51" s="49"/>
      <c r="LI51" s="49"/>
      <c r="LJ51" s="49"/>
      <c r="LK51" s="49"/>
      <c r="LL51" s="49"/>
      <c r="LM51" s="49"/>
      <c r="LN51" s="49"/>
      <c r="LO51" s="49"/>
      <c r="LP51" s="49"/>
      <c r="LQ51" s="49"/>
      <c r="LR51" s="49"/>
      <c r="LS51" s="49"/>
      <c r="LT51" s="49"/>
      <c r="LU51" s="49"/>
      <c r="LV51" s="49"/>
      <c r="LW51" s="49"/>
      <c r="LX51" s="49"/>
      <c r="LY51" s="49"/>
      <c r="LZ51" s="49"/>
      <c r="MA51" s="49"/>
      <c r="MB51" s="49"/>
      <c r="MC51" s="49"/>
      <c r="MD51" s="49"/>
      <c r="ME51" s="49"/>
      <c r="MF51" s="49"/>
      <c r="MG51" s="49"/>
      <c r="MH51" s="49"/>
      <c r="MI51" s="49"/>
      <c r="MJ51" s="49"/>
      <c r="MK51" s="49"/>
      <c r="ML51" s="49"/>
      <c r="MM51" s="49"/>
      <c r="MN51" s="49"/>
      <c r="MO51" s="49"/>
      <c r="MP51" s="49"/>
      <c r="MQ51" s="49"/>
      <c r="MR51" s="49"/>
      <c r="MS51" s="49"/>
      <c r="MT51" s="49"/>
      <c r="MU51" s="49"/>
      <c r="MV51" s="49"/>
      <c r="MW51" s="49"/>
      <c r="MX51" s="49"/>
      <c r="MY51" s="49"/>
      <c r="MZ51" s="49"/>
      <c r="NA51" s="49"/>
      <c r="NB51" s="49"/>
      <c r="NC51" s="49"/>
      <c r="ND51" s="49"/>
      <c r="NE51" s="49"/>
      <c r="NF51" s="49"/>
      <c r="NG51" s="49"/>
      <c r="NH51" s="49"/>
      <c r="NI51" s="49"/>
      <c r="NJ51" s="49"/>
      <c r="NK51" s="49"/>
      <c r="NL51" s="49"/>
      <c r="NM51" s="49"/>
      <c r="NN51" s="49"/>
      <c r="NO51" s="49"/>
      <c r="NP51" s="49"/>
      <c r="NQ51" s="49"/>
      <c r="NR51" s="49"/>
      <c r="NS51" s="49"/>
      <c r="NT51" s="49"/>
      <c r="NU51" s="49"/>
      <c r="NV51" s="49"/>
      <c r="NW51" s="49"/>
      <c r="NX51" s="49"/>
      <c r="NY51" s="49"/>
      <c r="NZ51" s="49"/>
      <c r="OA51" s="49"/>
      <c r="OB51" s="49"/>
      <c r="OC51" s="49"/>
      <c r="OD51" s="49"/>
      <c r="OE51" s="49"/>
      <c r="OF51" s="49"/>
      <c r="OG51" s="49"/>
      <c r="OH51" s="49"/>
      <c r="OI51" s="49"/>
      <c r="OJ51" s="49"/>
      <c r="OK51" s="49"/>
      <c r="OL51" s="49"/>
      <c r="OM51" s="49"/>
      <c r="ON51" s="49"/>
      <c r="OO51" s="49"/>
      <c r="OP51" s="49"/>
      <c r="OQ51" s="49"/>
      <c r="OR51" s="49"/>
      <c r="OS51" s="49"/>
      <c r="OT51" s="49"/>
      <c r="OU51" s="49"/>
      <c r="OV51" s="49"/>
      <c r="OW51" s="49"/>
      <c r="OX51" s="49"/>
      <c r="OY51" s="49"/>
      <c r="OZ51" s="49"/>
      <c r="PA51" s="49"/>
      <c r="PB51" s="49"/>
      <c r="PC51" s="49"/>
      <c r="PD51" s="49"/>
      <c r="PE51" s="49"/>
      <c r="PF51" s="49"/>
      <c r="PG51" s="49"/>
      <c r="PH51" s="49"/>
      <c r="PI51" s="49"/>
      <c r="PJ51" s="49"/>
      <c r="PK51" s="49"/>
      <c r="PL51" s="49"/>
      <c r="PM51" s="49"/>
      <c r="PN51" s="49"/>
      <c r="PO51" s="49"/>
      <c r="PP51" s="49"/>
      <c r="PQ51" s="49"/>
      <c r="PR51" s="49"/>
      <c r="PS51" s="49"/>
      <c r="PT51" s="49"/>
      <c r="PU51" s="49"/>
      <c r="PV51" s="49"/>
      <c r="PW51" s="49"/>
      <c r="PX51" s="49"/>
      <c r="PY51" s="49"/>
      <c r="PZ51" s="49"/>
      <c r="QA51" s="49"/>
      <c r="QB51" s="49"/>
      <c r="QC51" s="49"/>
      <c r="QD51" s="49"/>
      <c r="QE51" s="49"/>
      <c r="QF51" s="49"/>
      <c r="QG51" s="49"/>
      <c r="QH51" s="49"/>
      <c r="QI51" s="49"/>
      <c r="QJ51" s="49"/>
      <c r="QK51" s="49"/>
      <c r="QL51" s="49"/>
      <c r="QM51" s="49"/>
      <c r="QN51" s="49"/>
      <c r="QO51" s="49"/>
      <c r="QP51" s="49"/>
      <c r="QQ51" s="49"/>
      <c r="QR51" s="49"/>
      <c r="QS51" s="49"/>
      <c r="QT51" s="49"/>
      <c r="QU51" s="49"/>
      <c r="QV51" s="49"/>
      <c r="QW51" s="49"/>
      <c r="QX51" s="49"/>
      <c r="QY51" s="49"/>
      <c r="QZ51" s="49"/>
      <c r="RA51" s="49"/>
      <c r="RB51" s="49"/>
      <c r="RC51" s="49"/>
      <c r="RD51" s="49"/>
      <c r="RE51" s="49"/>
      <c r="RF51" s="49"/>
      <c r="RG51" s="49"/>
      <c r="RH51" s="49"/>
      <c r="RI51" s="49"/>
      <c r="RJ51" s="49"/>
      <c r="RK51" s="49"/>
      <c r="RL51" s="49"/>
      <c r="RM51" s="49"/>
      <c r="RN51" s="49"/>
      <c r="RO51" s="49"/>
      <c r="RP51" s="49"/>
      <c r="RQ51" s="49"/>
      <c r="RR51" s="49"/>
      <c r="RS51" s="49"/>
      <c r="RT51" s="49"/>
      <c r="RU51" s="49"/>
      <c r="RV51" s="49"/>
      <c r="RW51" s="49"/>
      <c r="RX51" s="49"/>
      <c r="RY51" s="49"/>
      <c r="RZ51" s="49"/>
      <c r="SA51" s="49"/>
      <c r="SB51" s="49"/>
      <c r="SC51" s="49"/>
      <c r="SD51" s="49"/>
      <c r="SE51" s="49"/>
      <c r="SF51" s="49"/>
      <c r="SG51" s="49"/>
      <c r="SH51" s="49"/>
      <c r="SI51" s="49"/>
      <c r="SJ51" s="49"/>
      <c r="SK51" s="49"/>
      <c r="SL51" s="49"/>
      <c r="SM51" s="49"/>
      <c r="SN51" s="49"/>
      <c r="SO51" s="49"/>
      <c r="SP51" s="49"/>
      <c r="SQ51" s="49"/>
      <c r="SR51" s="49"/>
      <c r="SS51" s="49"/>
      <c r="ST51" s="49"/>
      <c r="SU51" s="49"/>
      <c r="SV51" s="49"/>
      <c r="SW51" s="49"/>
      <c r="SX51" s="49"/>
      <c r="SY51" s="49"/>
      <c r="SZ51" s="49"/>
      <c r="TA51" s="49"/>
      <c r="TB51" s="49"/>
      <c r="TC51" s="49"/>
      <c r="TD51" s="49"/>
      <c r="TE51" s="49"/>
      <c r="TF51" s="49"/>
      <c r="TG51" s="49"/>
      <c r="TH51" s="49"/>
      <c r="TI51" s="49"/>
      <c r="TJ51" s="49"/>
      <c r="TK51" s="49"/>
      <c r="TL51" s="49"/>
      <c r="TM51" s="49"/>
      <c r="TN51" s="49"/>
      <c r="TO51" s="49"/>
      <c r="TP51" s="49"/>
      <c r="TQ51" s="49"/>
      <c r="TR51" s="49"/>
      <c r="TS51" s="49"/>
      <c r="TT51" s="49"/>
      <c r="TU51" s="49"/>
      <c r="TV51" s="49"/>
      <c r="TW51" s="49"/>
      <c r="TX51" s="49"/>
      <c r="TY51" s="49"/>
      <c r="TZ51" s="49"/>
      <c r="UA51" s="49"/>
      <c r="UB51" s="49"/>
      <c r="UC51" s="49"/>
      <c r="UD51" s="49"/>
      <c r="UE51" s="49"/>
      <c r="UF51" s="49"/>
      <c r="UG51" s="49"/>
      <c r="UH51" s="49"/>
      <c r="UI51" s="49"/>
      <c r="UJ51" s="49"/>
      <c r="UK51" s="49"/>
      <c r="UL51" s="49"/>
      <c r="UM51" s="49"/>
      <c r="UN51" s="49"/>
      <c r="UO51" s="49"/>
      <c r="UP51" s="49"/>
      <c r="UQ51" s="49"/>
      <c r="UR51" s="49"/>
      <c r="US51" s="49"/>
      <c r="UT51" s="49"/>
      <c r="UU51" s="49"/>
      <c r="UV51" s="49"/>
      <c r="UW51" s="49"/>
      <c r="UX51" s="49"/>
      <c r="UY51" s="49"/>
      <c r="UZ51" s="49"/>
      <c r="VA51" s="49"/>
      <c r="VB51" s="49"/>
      <c r="VC51" s="49"/>
      <c r="VD51" s="49"/>
      <c r="VE51" s="49"/>
      <c r="VF51" s="49"/>
      <c r="VG51" s="49"/>
      <c r="VH51" s="49"/>
      <c r="VI51" s="49"/>
      <c r="VJ51" s="49"/>
      <c r="VK51" s="49"/>
      <c r="VL51" s="49"/>
      <c r="VM51" s="49"/>
      <c r="VN51" s="49"/>
      <c r="VO51" s="49"/>
      <c r="VP51" s="49"/>
      <c r="VQ51" s="49"/>
      <c r="VR51" s="49"/>
      <c r="VS51" s="49"/>
      <c r="VT51" s="49"/>
      <c r="VU51" s="49"/>
      <c r="VV51" s="49"/>
      <c r="VW51" s="49"/>
      <c r="VX51" s="49"/>
      <c r="VY51" s="49"/>
      <c r="VZ51" s="49"/>
      <c r="WA51" s="49"/>
      <c r="WB51" s="49"/>
      <c r="WC51" s="49"/>
      <c r="WD51" s="49"/>
      <c r="WE51" s="49"/>
      <c r="WF51" s="49"/>
      <c r="WG51" s="49"/>
      <c r="WH51" s="49"/>
      <c r="WI51" s="49"/>
      <c r="WJ51" s="49"/>
      <c r="WK51" s="49"/>
      <c r="WL51" s="49"/>
      <c r="WM51" s="49"/>
      <c r="WN51" s="49"/>
      <c r="WO51" s="49"/>
      <c r="WP51" s="49"/>
      <c r="WQ51" s="49"/>
      <c r="WR51" s="49"/>
      <c r="WS51" s="49"/>
      <c r="WT51" s="49"/>
      <c r="WU51" s="49"/>
      <c r="WV51" s="49"/>
      <c r="WW51" s="49"/>
      <c r="WX51" s="49"/>
      <c r="WY51" s="49"/>
      <c r="WZ51" s="49"/>
      <c r="XA51" s="49"/>
      <c r="XB51" s="49"/>
      <c r="XC51" s="49"/>
      <c r="XD51" s="49"/>
      <c r="XE51" s="49"/>
      <c r="XF51" s="49"/>
      <c r="XG51" s="49"/>
      <c r="XH51" s="49"/>
      <c r="XI51" s="49"/>
      <c r="XJ51" s="49"/>
      <c r="XK51" s="49"/>
      <c r="XL51" s="49"/>
      <c r="XM51" s="49"/>
      <c r="XN51" s="49"/>
      <c r="XO51" s="49"/>
      <c r="XP51" s="49"/>
      <c r="XQ51" s="49"/>
      <c r="XR51" s="49"/>
      <c r="XS51" s="49"/>
      <c r="XT51" s="49"/>
      <c r="XU51" s="49"/>
      <c r="XV51" s="49"/>
      <c r="XW51" s="49"/>
      <c r="XX51" s="49"/>
      <c r="XY51" s="49"/>
      <c r="XZ51" s="49"/>
      <c r="YA51" s="49"/>
      <c r="YB51" s="49"/>
      <c r="YC51" s="49"/>
      <c r="YD51" s="49"/>
      <c r="YE51" s="49"/>
      <c r="YF51" s="49"/>
      <c r="YG51" s="49"/>
      <c r="YH51" s="49"/>
      <c r="YI51" s="49"/>
      <c r="YJ51" s="49"/>
      <c r="YK51" s="49"/>
      <c r="YL51" s="49"/>
      <c r="YM51" s="49"/>
      <c r="YN51" s="49"/>
      <c r="YO51" s="49"/>
      <c r="YP51" s="49"/>
      <c r="YQ51" s="49"/>
      <c r="YR51" s="49"/>
      <c r="YS51" s="49"/>
      <c r="YT51" s="49"/>
      <c r="YU51" s="49"/>
      <c r="YV51" s="49"/>
      <c r="YW51" s="49"/>
      <c r="YX51" s="49"/>
      <c r="YY51" s="49"/>
      <c r="YZ51" s="49"/>
      <c r="ZA51" s="49"/>
      <c r="ZB51" s="49"/>
      <c r="ZC51" s="49"/>
      <c r="ZD51" s="49"/>
      <c r="ZE51" s="49"/>
      <c r="ZF51" s="49"/>
      <c r="ZG51" s="49"/>
      <c r="ZH51" s="49"/>
      <c r="ZI51" s="49"/>
      <c r="ZJ51" s="49"/>
      <c r="ZK51" s="49"/>
      <c r="ZL51" s="49"/>
      <c r="ZM51" s="49"/>
      <c r="ZN51" s="49"/>
      <c r="ZO51" s="49"/>
      <c r="ZP51" s="49"/>
      <c r="ZQ51" s="49"/>
      <c r="ZR51" s="49"/>
      <c r="ZS51" s="49"/>
      <c r="ZT51" s="49"/>
      <c r="ZU51" s="49"/>
      <c r="ZV51" s="49"/>
      <c r="ZW51" s="49"/>
      <c r="ZX51" s="49"/>
      <c r="ZY51" s="49"/>
      <c r="ZZ51" s="49"/>
      <c r="AAA51" s="49"/>
      <c r="AAB51" s="49"/>
      <c r="AAC51" s="49"/>
      <c r="AAD51" s="49"/>
      <c r="AAE51" s="49"/>
      <c r="AAF51" s="49"/>
      <c r="AAG51" s="49"/>
      <c r="AAH51" s="49"/>
      <c r="AAI51" s="49"/>
      <c r="AAJ51" s="49"/>
      <c r="AAK51" s="49"/>
      <c r="AAL51" s="49"/>
      <c r="AAM51" s="49"/>
      <c r="AAN51" s="49"/>
      <c r="AAO51" s="49"/>
      <c r="AAP51" s="49"/>
      <c r="AAQ51" s="49"/>
      <c r="AAR51" s="49"/>
      <c r="AAS51" s="49"/>
      <c r="AAT51" s="49"/>
      <c r="AAU51" s="49"/>
      <c r="AAV51" s="49"/>
      <c r="AAW51" s="49"/>
      <c r="AAX51" s="49"/>
      <c r="AAY51" s="49"/>
      <c r="AAZ51" s="49"/>
      <c r="ABA51" s="49"/>
      <c r="ABB51" s="49"/>
      <c r="ABC51" s="49"/>
      <c r="ABD51" s="49"/>
      <c r="ABE51" s="49"/>
      <c r="ABF51" s="49"/>
      <c r="ABG51" s="49"/>
      <c r="ABH51" s="49"/>
      <c r="ABI51" s="49"/>
      <c r="ABJ51" s="49"/>
      <c r="ABK51" s="49"/>
      <c r="ABL51" s="49"/>
      <c r="ABM51" s="49"/>
      <c r="ABN51" s="49"/>
      <c r="ABO51" s="49"/>
      <c r="ABP51" s="49"/>
      <c r="ABQ51" s="49"/>
      <c r="ABR51" s="49"/>
      <c r="ABS51" s="49"/>
      <c r="ABT51" s="49"/>
      <c r="ABU51" s="49"/>
      <c r="ABV51" s="49"/>
      <c r="ABW51" s="49"/>
      <c r="ABX51" s="49"/>
      <c r="ABY51" s="49"/>
      <c r="ABZ51" s="49"/>
      <c r="ACA51" s="49"/>
      <c r="ACB51" s="49"/>
      <c r="ACC51" s="49"/>
      <c r="ACD51" s="49"/>
      <c r="ACE51" s="49"/>
      <c r="ACF51" s="49"/>
      <c r="ACG51" s="49"/>
      <c r="ACH51" s="49"/>
      <c r="ACI51" s="49"/>
      <c r="ACJ51" s="49"/>
      <c r="ACK51" s="49"/>
      <c r="ACL51" s="49"/>
      <c r="ACM51" s="49"/>
      <c r="ACN51" s="49"/>
      <c r="ACO51" s="49"/>
      <c r="ACP51" s="49"/>
      <c r="ACQ51" s="49"/>
      <c r="ACR51" s="49"/>
      <c r="ACS51" s="49"/>
      <c r="ACT51" s="49"/>
      <c r="ACU51" s="49"/>
      <c r="ACV51" s="49"/>
      <c r="ACW51" s="49"/>
      <c r="ACX51" s="49"/>
      <c r="ACY51" s="49"/>
      <c r="ACZ51" s="49"/>
      <c r="ADA51" s="49"/>
      <c r="ADB51" s="49"/>
      <c r="ADC51" s="49"/>
      <c r="ADD51" s="49"/>
      <c r="ADE51" s="49"/>
      <c r="ADF51" s="49"/>
      <c r="ADG51" s="49"/>
      <c r="ADH51" s="49"/>
      <c r="ADI51" s="49"/>
      <c r="ADJ51" s="49"/>
      <c r="ADK51" s="49"/>
      <c r="ADL51" s="49"/>
      <c r="ADM51" s="49"/>
      <c r="ADN51" s="49"/>
      <c r="ADO51" s="49"/>
      <c r="ADP51" s="49"/>
      <c r="ADQ51" s="49"/>
      <c r="ADR51" s="49"/>
      <c r="ADS51" s="49"/>
      <c r="ADT51" s="49"/>
      <c r="ADU51" s="49"/>
      <c r="ADV51" s="49"/>
      <c r="ADW51" s="49"/>
      <c r="ADX51" s="49"/>
      <c r="ADY51" s="49"/>
      <c r="ADZ51" s="49"/>
      <c r="AEA51" s="49"/>
      <c r="AEB51" s="49"/>
      <c r="AEC51" s="49"/>
      <c r="AED51" s="49"/>
      <c r="AEE51" s="49"/>
      <c r="AEF51" s="49"/>
      <c r="AEG51" s="49"/>
      <c r="AEH51" s="49"/>
      <c r="AEI51" s="49"/>
      <c r="AEJ51" s="49"/>
      <c r="AEK51" s="49"/>
      <c r="AEL51" s="49"/>
      <c r="AEM51" s="49"/>
      <c r="AEN51" s="49"/>
      <c r="AEO51" s="49"/>
      <c r="AEP51" s="49"/>
      <c r="AEQ51" s="49"/>
      <c r="AER51" s="49"/>
      <c r="AES51" s="49"/>
      <c r="AET51" s="49"/>
      <c r="AEU51" s="49"/>
      <c r="AEV51" s="49"/>
      <c r="AEW51" s="49"/>
      <c r="AEX51" s="49"/>
      <c r="AEY51" s="49"/>
      <c r="AEZ51" s="49"/>
      <c r="AFA51" s="49"/>
      <c r="AFB51" s="49"/>
      <c r="AFC51" s="49"/>
      <c r="AFD51" s="49"/>
      <c r="AFE51" s="49"/>
      <c r="AFF51" s="49"/>
      <c r="AFG51" s="49"/>
      <c r="AFH51" s="49"/>
      <c r="AFI51" s="49"/>
      <c r="AFJ51" s="49"/>
      <c r="AFK51" s="49"/>
      <c r="AFL51" s="49"/>
      <c r="AFM51" s="49"/>
      <c r="AFN51" s="49"/>
      <c r="AFO51" s="49"/>
      <c r="AFP51" s="49"/>
      <c r="AFQ51" s="49"/>
      <c r="AFR51" s="49"/>
      <c r="AFS51" s="49"/>
      <c r="AFT51" s="49"/>
      <c r="AFU51" s="49"/>
      <c r="AFV51" s="49"/>
      <c r="AFW51" s="49"/>
      <c r="AFX51" s="49"/>
      <c r="AFY51" s="49"/>
      <c r="AFZ51" s="49"/>
      <c r="AGA51" s="49"/>
      <c r="AGB51" s="49"/>
      <c r="AGC51" s="49"/>
      <c r="AGD51" s="49"/>
      <c r="AGE51" s="49"/>
      <c r="AGF51" s="49"/>
      <c r="AGG51" s="49"/>
      <c r="AGH51" s="49"/>
      <c r="AGI51" s="49"/>
      <c r="AGJ51" s="49"/>
      <c r="AGK51" s="49"/>
      <c r="AGL51" s="49"/>
      <c r="AGM51" s="49"/>
      <c r="AGN51" s="49"/>
      <c r="AGO51" s="49"/>
      <c r="AGP51" s="49"/>
      <c r="AGQ51" s="49"/>
      <c r="AGR51" s="49"/>
      <c r="AGS51" s="49"/>
      <c r="AGT51" s="49"/>
      <c r="AGU51" s="49"/>
      <c r="AGV51" s="49"/>
      <c r="AGW51" s="49"/>
      <c r="AGX51" s="49"/>
      <c r="AGY51" s="49"/>
      <c r="AGZ51" s="49"/>
      <c r="AHA51" s="49"/>
      <c r="AHB51" s="49"/>
      <c r="AHC51" s="49"/>
      <c r="AHD51" s="49"/>
      <c r="AHE51" s="49"/>
      <c r="AHF51" s="49"/>
      <c r="AHG51" s="49"/>
      <c r="AHH51" s="49"/>
      <c r="AHI51" s="49"/>
      <c r="AHJ51" s="49"/>
      <c r="AHK51" s="49"/>
      <c r="AHL51" s="49"/>
      <c r="AHM51" s="49"/>
      <c r="AHN51" s="49"/>
      <c r="AHO51" s="49"/>
      <c r="AHP51" s="49"/>
      <c r="AHQ51" s="49"/>
      <c r="AHR51" s="49"/>
      <c r="AHS51" s="49"/>
      <c r="AHT51" s="49"/>
      <c r="AHU51" s="49"/>
      <c r="AHV51" s="49"/>
      <c r="AHW51" s="49"/>
      <c r="AHX51" s="49"/>
      <c r="AHY51" s="49"/>
      <c r="AHZ51" s="49"/>
      <c r="AIA51" s="49"/>
      <c r="AIB51" s="49"/>
      <c r="AIC51" s="49"/>
      <c r="AID51" s="49"/>
      <c r="AIE51" s="49"/>
      <c r="AIF51" s="49"/>
      <c r="AIG51" s="49"/>
      <c r="AIH51" s="49"/>
      <c r="AII51" s="49"/>
      <c r="AIJ51" s="49"/>
      <c r="AIK51" s="49"/>
      <c r="AIL51" s="49"/>
      <c r="AIM51" s="49"/>
      <c r="AIN51" s="49"/>
      <c r="AIO51" s="49"/>
      <c r="AIP51" s="49"/>
      <c r="AIQ51" s="49"/>
      <c r="AIR51" s="49"/>
      <c r="AIS51" s="49"/>
      <c r="AIT51" s="49"/>
      <c r="AIU51" s="49"/>
      <c r="AIV51" s="49"/>
      <c r="AIW51" s="49"/>
      <c r="AIX51" s="49"/>
      <c r="AIY51" s="49"/>
      <c r="AIZ51" s="49"/>
      <c r="AJA51" s="49"/>
      <c r="AJB51" s="49"/>
      <c r="AJC51" s="49"/>
      <c r="AJD51" s="49"/>
      <c r="AJE51" s="49"/>
      <c r="AJF51" s="49"/>
      <c r="AJG51" s="49"/>
      <c r="AJH51" s="49"/>
      <c r="AJI51" s="49"/>
      <c r="AJJ51" s="49"/>
      <c r="AJK51" s="49"/>
      <c r="AJL51" s="49"/>
      <c r="AJM51" s="49"/>
      <c r="AJN51" s="49"/>
      <c r="AJO51" s="49"/>
      <c r="AJP51" s="49"/>
      <c r="AJQ51" s="49"/>
      <c r="AJR51" s="49"/>
      <c r="AJS51" s="49"/>
      <c r="AJT51" s="49"/>
      <c r="AJU51" s="49"/>
      <c r="AJV51" s="49"/>
      <c r="AJW51" s="49"/>
      <c r="AJX51" s="49"/>
      <c r="AJY51" s="49"/>
      <c r="AJZ51" s="49"/>
      <c r="AKA51" s="49"/>
      <c r="AKB51" s="49"/>
      <c r="AKC51" s="49"/>
      <c r="AKD51" s="49"/>
      <c r="AKE51" s="49"/>
      <c r="AKF51" s="49"/>
      <c r="AKG51" s="49"/>
      <c r="AKH51" s="49"/>
      <c r="AKI51" s="49"/>
      <c r="AKJ51" s="49"/>
      <c r="AKK51" s="49"/>
      <c r="AKL51" s="49"/>
      <c r="AKM51" s="49"/>
      <c r="AKN51" s="49"/>
      <c r="AKO51" s="49"/>
      <c r="AKP51" s="49"/>
      <c r="AKQ51" s="49"/>
      <c r="AKR51" s="49"/>
      <c r="AKS51" s="49"/>
      <c r="AKT51" s="49"/>
      <c r="AKU51" s="49"/>
      <c r="AKV51" s="49"/>
      <c r="AKW51" s="49"/>
      <c r="AKX51" s="49"/>
      <c r="AKY51" s="49"/>
      <c r="AKZ51" s="49"/>
      <c r="ALA51" s="49"/>
      <c r="ALB51" s="49"/>
      <c r="ALC51" s="49"/>
      <c r="ALD51" s="49"/>
      <c r="ALE51" s="49"/>
      <c r="ALF51" s="49"/>
      <c r="ALG51" s="49"/>
      <c r="ALH51" s="49"/>
      <c r="ALI51" s="49"/>
      <c r="ALJ51" s="49"/>
      <c r="ALK51" s="49"/>
      <c r="ALL51" s="49"/>
      <c r="ALM51" s="49"/>
      <c r="ALN51" s="49"/>
      <c r="ALO51" s="49"/>
      <c r="ALP51" s="49"/>
      <c r="ALQ51" s="49"/>
      <c r="ALR51" s="49"/>
      <c r="ALS51" s="49"/>
      <c r="ALT51" s="49"/>
      <c r="ALU51" s="49"/>
      <c r="ALV51" s="49"/>
      <c r="ALW51" s="49"/>
      <c r="ALX51" s="49"/>
      <c r="ALY51" s="49"/>
      <c r="ALZ51" s="49"/>
      <c r="AMA51" s="49"/>
      <c r="AMB51" s="49"/>
      <c r="AMC51" s="49"/>
      <c r="AMD51" s="49"/>
      <c r="AME51" s="49"/>
      <c r="AMF51" s="49"/>
      <c r="AMG51" s="49"/>
      <c r="AMH51" s="49"/>
      <c r="AMI51" s="49"/>
      <c r="AMJ51" s="49"/>
      <c r="AMK51" s="49"/>
    </row>
    <row r="52" spans="1:1025" ht="15" customHeight="1">
      <c r="A52" s="28" t="s">
        <v>15</v>
      </c>
      <c r="B52" s="117"/>
      <c r="C52" s="62"/>
      <c r="D52" s="62" t="s">
        <v>131</v>
      </c>
      <c r="E52" s="56">
        <v>1</v>
      </c>
      <c r="F52" s="91" t="b">
        <v>0</v>
      </c>
      <c r="G52" s="57">
        <v>0.9</v>
      </c>
      <c r="H52" s="57">
        <v>1.9</v>
      </c>
      <c r="I52" s="56" t="s">
        <v>63</v>
      </c>
      <c r="J52" s="56" t="s">
        <v>78</v>
      </c>
      <c r="K52" s="57">
        <v>0.9</v>
      </c>
      <c r="L52" s="57">
        <v>1.9</v>
      </c>
      <c r="M52" s="58">
        <f t="shared" si="9"/>
        <v>1.71</v>
      </c>
      <c r="N52" s="101"/>
      <c r="O52" s="100"/>
      <c r="P52" s="58"/>
      <c r="Q52" s="16"/>
      <c r="R52" s="46"/>
      <c r="S52" s="46"/>
      <c r="T52" s="46"/>
      <c r="U52" s="46"/>
      <c r="V52" s="46"/>
      <c r="W52" s="46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  <c r="IK52" s="49"/>
      <c r="IL52" s="49"/>
      <c r="IM52" s="49"/>
      <c r="IN52" s="49"/>
      <c r="IO52" s="49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49"/>
      <c r="JA52" s="49"/>
      <c r="JB52" s="49"/>
      <c r="JC52" s="49"/>
      <c r="JD52" s="49"/>
      <c r="JE52" s="49"/>
      <c r="JF52" s="49"/>
      <c r="JG52" s="49"/>
      <c r="JH52" s="49"/>
      <c r="JI52" s="49"/>
      <c r="JJ52" s="49"/>
      <c r="JK52" s="49"/>
      <c r="JL52" s="49"/>
      <c r="JM52" s="49"/>
      <c r="JN52" s="49"/>
      <c r="JO52" s="49"/>
      <c r="JP52" s="49"/>
      <c r="JQ52" s="49"/>
      <c r="JR52" s="49"/>
      <c r="JS52" s="49"/>
      <c r="JT52" s="49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  <c r="KK52" s="49"/>
      <c r="KL52" s="49"/>
      <c r="KM52" s="49"/>
      <c r="KN52" s="49"/>
      <c r="KO52" s="49"/>
      <c r="KP52" s="49"/>
      <c r="KQ52" s="49"/>
      <c r="KR52" s="49"/>
      <c r="KS52" s="49"/>
      <c r="KT52" s="49"/>
      <c r="KU52" s="49"/>
      <c r="KV52" s="49"/>
      <c r="KW52" s="49"/>
      <c r="KX52" s="49"/>
      <c r="KY52" s="49"/>
      <c r="KZ52" s="49"/>
      <c r="LA52" s="49"/>
      <c r="LB52" s="49"/>
      <c r="LC52" s="49"/>
      <c r="LD52" s="49"/>
      <c r="LE52" s="49"/>
      <c r="LF52" s="49"/>
      <c r="LG52" s="49"/>
      <c r="LH52" s="49"/>
      <c r="LI52" s="49"/>
      <c r="LJ52" s="49"/>
      <c r="LK52" s="49"/>
      <c r="LL52" s="49"/>
      <c r="LM52" s="49"/>
      <c r="LN52" s="49"/>
      <c r="LO52" s="49"/>
      <c r="LP52" s="49"/>
      <c r="LQ52" s="49"/>
      <c r="LR52" s="49"/>
      <c r="LS52" s="49"/>
      <c r="LT52" s="49"/>
      <c r="LU52" s="49"/>
      <c r="LV52" s="49"/>
      <c r="LW52" s="49"/>
      <c r="LX52" s="49"/>
      <c r="LY52" s="49"/>
      <c r="LZ52" s="49"/>
      <c r="MA52" s="49"/>
      <c r="MB52" s="49"/>
      <c r="MC52" s="49"/>
      <c r="MD52" s="49"/>
      <c r="ME52" s="49"/>
      <c r="MF52" s="49"/>
      <c r="MG52" s="49"/>
      <c r="MH52" s="49"/>
      <c r="MI52" s="49"/>
      <c r="MJ52" s="49"/>
      <c r="MK52" s="49"/>
      <c r="ML52" s="49"/>
      <c r="MM52" s="49"/>
      <c r="MN52" s="49"/>
      <c r="MO52" s="49"/>
      <c r="MP52" s="49"/>
      <c r="MQ52" s="49"/>
      <c r="MR52" s="49"/>
      <c r="MS52" s="49"/>
      <c r="MT52" s="49"/>
      <c r="MU52" s="49"/>
      <c r="MV52" s="49"/>
      <c r="MW52" s="49"/>
      <c r="MX52" s="49"/>
      <c r="MY52" s="49"/>
      <c r="MZ52" s="49"/>
      <c r="NA52" s="49"/>
      <c r="NB52" s="49"/>
      <c r="NC52" s="49"/>
      <c r="ND52" s="49"/>
      <c r="NE52" s="49"/>
      <c r="NF52" s="49"/>
      <c r="NG52" s="49"/>
      <c r="NH52" s="49"/>
      <c r="NI52" s="49"/>
      <c r="NJ52" s="49"/>
      <c r="NK52" s="49"/>
      <c r="NL52" s="49"/>
      <c r="NM52" s="49"/>
      <c r="NN52" s="49"/>
      <c r="NO52" s="49"/>
      <c r="NP52" s="49"/>
      <c r="NQ52" s="49"/>
      <c r="NR52" s="49"/>
      <c r="NS52" s="49"/>
      <c r="NT52" s="49"/>
      <c r="NU52" s="49"/>
      <c r="NV52" s="49"/>
      <c r="NW52" s="49"/>
      <c r="NX52" s="49"/>
      <c r="NY52" s="49"/>
      <c r="NZ52" s="49"/>
      <c r="OA52" s="49"/>
      <c r="OB52" s="49"/>
      <c r="OC52" s="49"/>
      <c r="OD52" s="49"/>
      <c r="OE52" s="49"/>
      <c r="OF52" s="49"/>
      <c r="OG52" s="49"/>
      <c r="OH52" s="49"/>
      <c r="OI52" s="49"/>
      <c r="OJ52" s="49"/>
      <c r="OK52" s="49"/>
      <c r="OL52" s="49"/>
      <c r="OM52" s="49"/>
      <c r="ON52" s="49"/>
      <c r="OO52" s="49"/>
      <c r="OP52" s="49"/>
      <c r="OQ52" s="49"/>
      <c r="OR52" s="49"/>
      <c r="OS52" s="49"/>
      <c r="OT52" s="49"/>
      <c r="OU52" s="49"/>
      <c r="OV52" s="49"/>
      <c r="OW52" s="49"/>
      <c r="OX52" s="49"/>
      <c r="OY52" s="49"/>
      <c r="OZ52" s="49"/>
      <c r="PA52" s="49"/>
      <c r="PB52" s="49"/>
      <c r="PC52" s="49"/>
      <c r="PD52" s="49"/>
      <c r="PE52" s="49"/>
      <c r="PF52" s="49"/>
      <c r="PG52" s="49"/>
      <c r="PH52" s="49"/>
      <c r="PI52" s="49"/>
      <c r="PJ52" s="49"/>
      <c r="PK52" s="49"/>
      <c r="PL52" s="49"/>
      <c r="PM52" s="49"/>
      <c r="PN52" s="49"/>
      <c r="PO52" s="49"/>
      <c r="PP52" s="49"/>
      <c r="PQ52" s="49"/>
      <c r="PR52" s="49"/>
      <c r="PS52" s="49"/>
      <c r="PT52" s="49"/>
      <c r="PU52" s="49"/>
      <c r="PV52" s="49"/>
      <c r="PW52" s="49"/>
      <c r="PX52" s="49"/>
      <c r="PY52" s="49"/>
      <c r="PZ52" s="49"/>
      <c r="QA52" s="49"/>
      <c r="QB52" s="49"/>
      <c r="QC52" s="49"/>
      <c r="QD52" s="49"/>
      <c r="QE52" s="49"/>
      <c r="QF52" s="49"/>
      <c r="QG52" s="49"/>
      <c r="QH52" s="49"/>
      <c r="QI52" s="49"/>
      <c r="QJ52" s="49"/>
      <c r="QK52" s="49"/>
      <c r="QL52" s="49"/>
      <c r="QM52" s="49"/>
      <c r="QN52" s="49"/>
      <c r="QO52" s="49"/>
      <c r="QP52" s="49"/>
      <c r="QQ52" s="49"/>
      <c r="QR52" s="49"/>
      <c r="QS52" s="49"/>
      <c r="QT52" s="49"/>
      <c r="QU52" s="49"/>
      <c r="QV52" s="49"/>
      <c r="QW52" s="49"/>
      <c r="QX52" s="49"/>
      <c r="QY52" s="49"/>
      <c r="QZ52" s="49"/>
      <c r="RA52" s="49"/>
      <c r="RB52" s="49"/>
      <c r="RC52" s="49"/>
      <c r="RD52" s="49"/>
      <c r="RE52" s="49"/>
      <c r="RF52" s="49"/>
      <c r="RG52" s="49"/>
      <c r="RH52" s="49"/>
      <c r="RI52" s="49"/>
      <c r="RJ52" s="49"/>
      <c r="RK52" s="49"/>
      <c r="RL52" s="49"/>
      <c r="RM52" s="49"/>
      <c r="RN52" s="49"/>
      <c r="RO52" s="49"/>
      <c r="RP52" s="49"/>
      <c r="RQ52" s="49"/>
      <c r="RR52" s="49"/>
      <c r="RS52" s="49"/>
      <c r="RT52" s="49"/>
      <c r="RU52" s="49"/>
      <c r="RV52" s="49"/>
      <c r="RW52" s="49"/>
      <c r="RX52" s="49"/>
      <c r="RY52" s="49"/>
      <c r="RZ52" s="49"/>
      <c r="SA52" s="49"/>
      <c r="SB52" s="49"/>
      <c r="SC52" s="49"/>
      <c r="SD52" s="49"/>
      <c r="SE52" s="49"/>
      <c r="SF52" s="49"/>
      <c r="SG52" s="49"/>
      <c r="SH52" s="49"/>
      <c r="SI52" s="49"/>
      <c r="SJ52" s="49"/>
      <c r="SK52" s="49"/>
      <c r="SL52" s="49"/>
      <c r="SM52" s="49"/>
      <c r="SN52" s="49"/>
      <c r="SO52" s="49"/>
      <c r="SP52" s="49"/>
      <c r="SQ52" s="49"/>
      <c r="SR52" s="49"/>
      <c r="SS52" s="49"/>
      <c r="ST52" s="49"/>
      <c r="SU52" s="49"/>
      <c r="SV52" s="49"/>
      <c r="SW52" s="49"/>
      <c r="SX52" s="49"/>
      <c r="SY52" s="49"/>
      <c r="SZ52" s="49"/>
      <c r="TA52" s="49"/>
      <c r="TB52" s="49"/>
      <c r="TC52" s="49"/>
      <c r="TD52" s="49"/>
      <c r="TE52" s="49"/>
      <c r="TF52" s="49"/>
      <c r="TG52" s="49"/>
      <c r="TH52" s="49"/>
      <c r="TI52" s="49"/>
      <c r="TJ52" s="49"/>
      <c r="TK52" s="49"/>
      <c r="TL52" s="49"/>
      <c r="TM52" s="49"/>
      <c r="TN52" s="49"/>
      <c r="TO52" s="49"/>
      <c r="TP52" s="49"/>
      <c r="TQ52" s="49"/>
      <c r="TR52" s="49"/>
      <c r="TS52" s="49"/>
      <c r="TT52" s="49"/>
      <c r="TU52" s="49"/>
      <c r="TV52" s="49"/>
      <c r="TW52" s="49"/>
      <c r="TX52" s="49"/>
      <c r="TY52" s="49"/>
      <c r="TZ52" s="49"/>
      <c r="UA52" s="49"/>
      <c r="UB52" s="49"/>
      <c r="UC52" s="49"/>
      <c r="UD52" s="49"/>
      <c r="UE52" s="49"/>
      <c r="UF52" s="49"/>
      <c r="UG52" s="49"/>
      <c r="UH52" s="49"/>
      <c r="UI52" s="49"/>
      <c r="UJ52" s="49"/>
      <c r="UK52" s="49"/>
      <c r="UL52" s="49"/>
      <c r="UM52" s="49"/>
      <c r="UN52" s="49"/>
      <c r="UO52" s="49"/>
      <c r="UP52" s="49"/>
      <c r="UQ52" s="49"/>
      <c r="UR52" s="49"/>
      <c r="US52" s="49"/>
      <c r="UT52" s="49"/>
      <c r="UU52" s="49"/>
      <c r="UV52" s="49"/>
      <c r="UW52" s="49"/>
      <c r="UX52" s="49"/>
      <c r="UY52" s="49"/>
      <c r="UZ52" s="49"/>
      <c r="VA52" s="49"/>
      <c r="VB52" s="49"/>
      <c r="VC52" s="49"/>
      <c r="VD52" s="49"/>
      <c r="VE52" s="49"/>
      <c r="VF52" s="49"/>
      <c r="VG52" s="49"/>
      <c r="VH52" s="49"/>
      <c r="VI52" s="49"/>
      <c r="VJ52" s="49"/>
      <c r="VK52" s="49"/>
      <c r="VL52" s="49"/>
      <c r="VM52" s="49"/>
      <c r="VN52" s="49"/>
      <c r="VO52" s="49"/>
      <c r="VP52" s="49"/>
      <c r="VQ52" s="49"/>
      <c r="VR52" s="49"/>
      <c r="VS52" s="49"/>
      <c r="VT52" s="49"/>
      <c r="VU52" s="49"/>
      <c r="VV52" s="49"/>
      <c r="VW52" s="49"/>
      <c r="VX52" s="49"/>
      <c r="VY52" s="49"/>
      <c r="VZ52" s="49"/>
      <c r="WA52" s="49"/>
      <c r="WB52" s="49"/>
      <c r="WC52" s="49"/>
      <c r="WD52" s="49"/>
      <c r="WE52" s="49"/>
      <c r="WF52" s="49"/>
      <c r="WG52" s="49"/>
      <c r="WH52" s="49"/>
      <c r="WI52" s="49"/>
      <c r="WJ52" s="49"/>
      <c r="WK52" s="49"/>
      <c r="WL52" s="49"/>
      <c r="WM52" s="49"/>
      <c r="WN52" s="49"/>
      <c r="WO52" s="49"/>
      <c r="WP52" s="49"/>
      <c r="WQ52" s="49"/>
      <c r="WR52" s="49"/>
      <c r="WS52" s="49"/>
      <c r="WT52" s="49"/>
      <c r="WU52" s="49"/>
      <c r="WV52" s="49"/>
      <c r="WW52" s="49"/>
      <c r="WX52" s="49"/>
      <c r="WY52" s="49"/>
      <c r="WZ52" s="49"/>
      <c r="XA52" s="49"/>
      <c r="XB52" s="49"/>
      <c r="XC52" s="49"/>
      <c r="XD52" s="49"/>
      <c r="XE52" s="49"/>
      <c r="XF52" s="49"/>
      <c r="XG52" s="49"/>
      <c r="XH52" s="49"/>
      <c r="XI52" s="49"/>
      <c r="XJ52" s="49"/>
      <c r="XK52" s="49"/>
      <c r="XL52" s="49"/>
      <c r="XM52" s="49"/>
      <c r="XN52" s="49"/>
      <c r="XO52" s="49"/>
      <c r="XP52" s="49"/>
      <c r="XQ52" s="49"/>
      <c r="XR52" s="49"/>
      <c r="XS52" s="49"/>
      <c r="XT52" s="49"/>
      <c r="XU52" s="49"/>
      <c r="XV52" s="49"/>
      <c r="XW52" s="49"/>
      <c r="XX52" s="49"/>
      <c r="XY52" s="49"/>
      <c r="XZ52" s="49"/>
      <c r="YA52" s="49"/>
      <c r="YB52" s="49"/>
      <c r="YC52" s="49"/>
      <c r="YD52" s="49"/>
      <c r="YE52" s="49"/>
      <c r="YF52" s="49"/>
      <c r="YG52" s="49"/>
      <c r="YH52" s="49"/>
      <c r="YI52" s="49"/>
      <c r="YJ52" s="49"/>
      <c r="YK52" s="49"/>
      <c r="YL52" s="49"/>
      <c r="YM52" s="49"/>
      <c r="YN52" s="49"/>
      <c r="YO52" s="49"/>
      <c r="YP52" s="49"/>
      <c r="YQ52" s="49"/>
      <c r="YR52" s="49"/>
      <c r="YS52" s="49"/>
      <c r="YT52" s="49"/>
      <c r="YU52" s="49"/>
      <c r="YV52" s="49"/>
      <c r="YW52" s="49"/>
      <c r="YX52" s="49"/>
      <c r="YY52" s="49"/>
      <c r="YZ52" s="49"/>
      <c r="ZA52" s="49"/>
      <c r="ZB52" s="49"/>
      <c r="ZC52" s="49"/>
      <c r="ZD52" s="49"/>
      <c r="ZE52" s="49"/>
      <c r="ZF52" s="49"/>
      <c r="ZG52" s="49"/>
      <c r="ZH52" s="49"/>
      <c r="ZI52" s="49"/>
      <c r="ZJ52" s="49"/>
      <c r="ZK52" s="49"/>
      <c r="ZL52" s="49"/>
      <c r="ZM52" s="49"/>
      <c r="ZN52" s="49"/>
      <c r="ZO52" s="49"/>
      <c r="ZP52" s="49"/>
      <c r="ZQ52" s="49"/>
      <c r="ZR52" s="49"/>
      <c r="ZS52" s="49"/>
      <c r="ZT52" s="49"/>
      <c r="ZU52" s="49"/>
      <c r="ZV52" s="49"/>
      <c r="ZW52" s="49"/>
      <c r="ZX52" s="49"/>
      <c r="ZY52" s="49"/>
      <c r="ZZ52" s="49"/>
      <c r="AAA52" s="49"/>
      <c r="AAB52" s="49"/>
      <c r="AAC52" s="49"/>
      <c r="AAD52" s="49"/>
      <c r="AAE52" s="49"/>
      <c r="AAF52" s="49"/>
      <c r="AAG52" s="49"/>
      <c r="AAH52" s="49"/>
      <c r="AAI52" s="49"/>
      <c r="AAJ52" s="49"/>
      <c r="AAK52" s="49"/>
      <c r="AAL52" s="49"/>
      <c r="AAM52" s="49"/>
      <c r="AAN52" s="49"/>
      <c r="AAO52" s="49"/>
      <c r="AAP52" s="49"/>
      <c r="AAQ52" s="49"/>
      <c r="AAR52" s="49"/>
      <c r="AAS52" s="49"/>
      <c r="AAT52" s="49"/>
      <c r="AAU52" s="49"/>
      <c r="AAV52" s="49"/>
      <c r="AAW52" s="49"/>
      <c r="AAX52" s="49"/>
      <c r="AAY52" s="49"/>
      <c r="AAZ52" s="49"/>
      <c r="ABA52" s="49"/>
      <c r="ABB52" s="49"/>
      <c r="ABC52" s="49"/>
      <c r="ABD52" s="49"/>
      <c r="ABE52" s="49"/>
      <c r="ABF52" s="49"/>
      <c r="ABG52" s="49"/>
      <c r="ABH52" s="49"/>
      <c r="ABI52" s="49"/>
      <c r="ABJ52" s="49"/>
      <c r="ABK52" s="49"/>
      <c r="ABL52" s="49"/>
      <c r="ABM52" s="49"/>
      <c r="ABN52" s="49"/>
      <c r="ABO52" s="49"/>
      <c r="ABP52" s="49"/>
      <c r="ABQ52" s="49"/>
      <c r="ABR52" s="49"/>
      <c r="ABS52" s="49"/>
      <c r="ABT52" s="49"/>
      <c r="ABU52" s="49"/>
      <c r="ABV52" s="49"/>
      <c r="ABW52" s="49"/>
      <c r="ABX52" s="49"/>
      <c r="ABY52" s="49"/>
      <c r="ABZ52" s="49"/>
      <c r="ACA52" s="49"/>
      <c r="ACB52" s="49"/>
      <c r="ACC52" s="49"/>
      <c r="ACD52" s="49"/>
      <c r="ACE52" s="49"/>
      <c r="ACF52" s="49"/>
      <c r="ACG52" s="49"/>
      <c r="ACH52" s="49"/>
      <c r="ACI52" s="49"/>
      <c r="ACJ52" s="49"/>
      <c r="ACK52" s="49"/>
      <c r="ACL52" s="49"/>
      <c r="ACM52" s="49"/>
      <c r="ACN52" s="49"/>
      <c r="ACO52" s="49"/>
      <c r="ACP52" s="49"/>
      <c r="ACQ52" s="49"/>
      <c r="ACR52" s="49"/>
      <c r="ACS52" s="49"/>
      <c r="ACT52" s="49"/>
      <c r="ACU52" s="49"/>
      <c r="ACV52" s="49"/>
      <c r="ACW52" s="49"/>
      <c r="ACX52" s="49"/>
      <c r="ACY52" s="49"/>
      <c r="ACZ52" s="49"/>
      <c r="ADA52" s="49"/>
      <c r="ADB52" s="49"/>
      <c r="ADC52" s="49"/>
      <c r="ADD52" s="49"/>
      <c r="ADE52" s="49"/>
      <c r="ADF52" s="49"/>
      <c r="ADG52" s="49"/>
      <c r="ADH52" s="49"/>
      <c r="ADI52" s="49"/>
      <c r="ADJ52" s="49"/>
      <c r="ADK52" s="49"/>
      <c r="ADL52" s="49"/>
      <c r="ADM52" s="49"/>
      <c r="ADN52" s="49"/>
      <c r="ADO52" s="49"/>
      <c r="ADP52" s="49"/>
      <c r="ADQ52" s="49"/>
      <c r="ADR52" s="49"/>
      <c r="ADS52" s="49"/>
      <c r="ADT52" s="49"/>
      <c r="ADU52" s="49"/>
      <c r="ADV52" s="49"/>
      <c r="ADW52" s="49"/>
      <c r="ADX52" s="49"/>
      <c r="ADY52" s="49"/>
      <c r="ADZ52" s="49"/>
      <c r="AEA52" s="49"/>
      <c r="AEB52" s="49"/>
      <c r="AEC52" s="49"/>
      <c r="AED52" s="49"/>
      <c r="AEE52" s="49"/>
      <c r="AEF52" s="49"/>
      <c r="AEG52" s="49"/>
      <c r="AEH52" s="49"/>
      <c r="AEI52" s="49"/>
      <c r="AEJ52" s="49"/>
      <c r="AEK52" s="49"/>
      <c r="AEL52" s="49"/>
      <c r="AEM52" s="49"/>
      <c r="AEN52" s="49"/>
      <c r="AEO52" s="49"/>
      <c r="AEP52" s="49"/>
      <c r="AEQ52" s="49"/>
      <c r="AER52" s="49"/>
      <c r="AES52" s="49"/>
      <c r="AET52" s="49"/>
      <c r="AEU52" s="49"/>
      <c r="AEV52" s="49"/>
      <c r="AEW52" s="49"/>
      <c r="AEX52" s="49"/>
      <c r="AEY52" s="49"/>
      <c r="AEZ52" s="49"/>
      <c r="AFA52" s="49"/>
      <c r="AFB52" s="49"/>
      <c r="AFC52" s="49"/>
      <c r="AFD52" s="49"/>
      <c r="AFE52" s="49"/>
      <c r="AFF52" s="49"/>
      <c r="AFG52" s="49"/>
      <c r="AFH52" s="49"/>
      <c r="AFI52" s="49"/>
      <c r="AFJ52" s="49"/>
      <c r="AFK52" s="49"/>
      <c r="AFL52" s="49"/>
      <c r="AFM52" s="49"/>
      <c r="AFN52" s="49"/>
      <c r="AFO52" s="49"/>
      <c r="AFP52" s="49"/>
      <c r="AFQ52" s="49"/>
      <c r="AFR52" s="49"/>
      <c r="AFS52" s="49"/>
      <c r="AFT52" s="49"/>
      <c r="AFU52" s="49"/>
      <c r="AFV52" s="49"/>
      <c r="AFW52" s="49"/>
      <c r="AFX52" s="49"/>
      <c r="AFY52" s="49"/>
      <c r="AFZ52" s="49"/>
      <c r="AGA52" s="49"/>
      <c r="AGB52" s="49"/>
      <c r="AGC52" s="49"/>
      <c r="AGD52" s="49"/>
      <c r="AGE52" s="49"/>
      <c r="AGF52" s="49"/>
      <c r="AGG52" s="49"/>
      <c r="AGH52" s="49"/>
      <c r="AGI52" s="49"/>
      <c r="AGJ52" s="49"/>
      <c r="AGK52" s="49"/>
      <c r="AGL52" s="49"/>
      <c r="AGM52" s="49"/>
      <c r="AGN52" s="49"/>
      <c r="AGO52" s="49"/>
      <c r="AGP52" s="49"/>
      <c r="AGQ52" s="49"/>
      <c r="AGR52" s="49"/>
      <c r="AGS52" s="49"/>
      <c r="AGT52" s="49"/>
      <c r="AGU52" s="49"/>
      <c r="AGV52" s="49"/>
      <c r="AGW52" s="49"/>
      <c r="AGX52" s="49"/>
      <c r="AGY52" s="49"/>
      <c r="AGZ52" s="49"/>
      <c r="AHA52" s="49"/>
      <c r="AHB52" s="49"/>
      <c r="AHC52" s="49"/>
      <c r="AHD52" s="49"/>
      <c r="AHE52" s="49"/>
      <c r="AHF52" s="49"/>
      <c r="AHG52" s="49"/>
      <c r="AHH52" s="49"/>
      <c r="AHI52" s="49"/>
      <c r="AHJ52" s="49"/>
      <c r="AHK52" s="49"/>
      <c r="AHL52" s="49"/>
      <c r="AHM52" s="49"/>
      <c r="AHN52" s="49"/>
      <c r="AHO52" s="49"/>
      <c r="AHP52" s="49"/>
      <c r="AHQ52" s="49"/>
      <c r="AHR52" s="49"/>
      <c r="AHS52" s="49"/>
      <c r="AHT52" s="49"/>
      <c r="AHU52" s="49"/>
      <c r="AHV52" s="49"/>
      <c r="AHW52" s="49"/>
      <c r="AHX52" s="49"/>
      <c r="AHY52" s="49"/>
      <c r="AHZ52" s="49"/>
      <c r="AIA52" s="49"/>
      <c r="AIB52" s="49"/>
      <c r="AIC52" s="49"/>
      <c r="AID52" s="49"/>
      <c r="AIE52" s="49"/>
      <c r="AIF52" s="49"/>
      <c r="AIG52" s="49"/>
      <c r="AIH52" s="49"/>
      <c r="AII52" s="49"/>
      <c r="AIJ52" s="49"/>
      <c r="AIK52" s="49"/>
      <c r="AIL52" s="49"/>
      <c r="AIM52" s="49"/>
      <c r="AIN52" s="49"/>
      <c r="AIO52" s="49"/>
      <c r="AIP52" s="49"/>
      <c r="AIQ52" s="49"/>
      <c r="AIR52" s="49"/>
      <c r="AIS52" s="49"/>
      <c r="AIT52" s="49"/>
      <c r="AIU52" s="49"/>
      <c r="AIV52" s="49"/>
      <c r="AIW52" s="49"/>
      <c r="AIX52" s="49"/>
      <c r="AIY52" s="49"/>
      <c r="AIZ52" s="49"/>
      <c r="AJA52" s="49"/>
      <c r="AJB52" s="49"/>
      <c r="AJC52" s="49"/>
      <c r="AJD52" s="49"/>
      <c r="AJE52" s="49"/>
      <c r="AJF52" s="49"/>
      <c r="AJG52" s="49"/>
      <c r="AJH52" s="49"/>
      <c r="AJI52" s="49"/>
      <c r="AJJ52" s="49"/>
      <c r="AJK52" s="49"/>
      <c r="AJL52" s="49"/>
      <c r="AJM52" s="49"/>
      <c r="AJN52" s="49"/>
      <c r="AJO52" s="49"/>
      <c r="AJP52" s="49"/>
      <c r="AJQ52" s="49"/>
      <c r="AJR52" s="49"/>
      <c r="AJS52" s="49"/>
      <c r="AJT52" s="49"/>
      <c r="AJU52" s="49"/>
      <c r="AJV52" s="49"/>
      <c r="AJW52" s="49"/>
      <c r="AJX52" s="49"/>
      <c r="AJY52" s="49"/>
      <c r="AJZ52" s="49"/>
      <c r="AKA52" s="49"/>
      <c r="AKB52" s="49"/>
      <c r="AKC52" s="49"/>
      <c r="AKD52" s="49"/>
      <c r="AKE52" s="49"/>
      <c r="AKF52" s="49"/>
      <c r="AKG52" s="49"/>
      <c r="AKH52" s="49"/>
      <c r="AKI52" s="49"/>
      <c r="AKJ52" s="49"/>
      <c r="AKK52" s="49"/>
      <c r="AKL52" s="49"/>
      <c r="AKM52" s="49"/>
      <c r="AKN52" s="49"/>
      <c r="AKO52" s="49"/>
      <c r="AKP52" s="49"/>
      <c r="AKQ52" s="49"/>
      <c r="AKR52" s="49"/>
      <c r="AKS52" s="49"/>
      <c r="AKT52" s="49"/>
      <c r="AKU52" s="49"/>
      <c r="AKV52" s="49"/>
      <c r="AKW52" s="49"/>
      <c r="AKX52" s="49"/>
      <c r="AKY52" s="49"/>
      <c r="AKZ52" s="49"/>
      <c r="ALA52" s="49"/>
      <c r="ALB52" s="49"/>
      <c r="ALC52" s="49"/>
      <c r="ALD52" s="49"/>
      <c r="ALE52" s="49"/>
      <c r="ALF52" s="49"/>
      <c r="ALG52" s="49"/>
      <c r="ALH52" s="49"/>
      <c r="ALI52" s="49"/>
      <c r="ALJ52" s="49"/>
      <c r="ALK52" s="49"/>
      <c r="ALL52" s="49"/>
      <c r="ALM52" s="49"/>
      <c r="ALN52" s="49"/>
      <c r="ALO52" s="49"/>
      <c r="ALP52" s="49"/>
      <c r="ALQ52" s="49"/>
      <c r="ALR52" s="49"/>
      <c r="ALS52" s="49"/>
      <c r="ALT52" s="49"/>
      <c r="ALU52" s="49"/>
      <c r="ALV52" s="49"/>
      <c r="ALW52" s="49"/>
      <c r="ALX52" s="49"/>
      <c r="ALY52" s="49"/>
      <c r="ALZ52" s="49"/>
      <c r="AMA52" s="49"/>
      <c r="AMB52" s="49"/>
      <c r="AMC52" s="49"/>
      <c r="AMD52" s="49"/>
      <c r="AME52" s="49"/>
      <c r="AMF52" s="49"/>
      <c r="AMG52" s="49"/>
      <c r="AMH52" s="49"/>
      <c r="AMI52" s="49"/>
      <c r="AMJ52" s="49"/>
      <c r="AMK52" s="49"/>
    </row>
    <row r="53" spans="1:1025" ht="15" customHeight="1">
      <c r="A53" s="28" t="s">
        <v>15</v>
      </c>
      <c r="B53" s="117"/>
      <c r="C53" s="62"/>
      <c r="D53" s="62" t="s">
        <v>132</v>
      </c>
      <c r="E53" s="56">
        <v>1</v>
      </c>
      <c r="F53" s="91" t="b">
        <v>0</v>
      </c>
      <c r="G53" s="57">
        <v>0.9</v>
      </c>
      <c r="H53" s="57">
        <v>1.9</v>
      </c>
      <c r="I53" s="56" t="s">
        <v>63</v>
      </c>
      <c r="J53" s="56" t="s">
        <v>78</v>
      </c>
      <c r="K53" s="57">
        <v>0.9</v>
      </c>
      <c r="L53" s="57">
        <v>1.9</v>
      </c>
      <c r="M53" s="58">
        <f t="shared" si="9"/>
        <v>1.71</v>
      </c>
      <c r="N53" s="34"/>
      <c r="O53" s="102"/>
      <c r="P53" s="65"/>
      <c r="Q53" s="16"/>
      <c r="R53" s="46"/>
      <c r="S53" s="46"/>
      <c r="T53" s="46"/>
      <c r="U53" s="46"/>
      <c r="V53" s="46"/>
      <c r="W53" s="46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  <c r="IK53" s="49"/>
      <c r="IL53" s="49"/>
      <c r="IM53" s="49"/>
      <c r="IN53" s="49"/>
      <c r="IO53" s="49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49"/>
      <c r="JA53" s="49"/>
      <c r="JB53" s="49"/>
      <c r="JC53" s="49"/>
      <c r="JD53" s="49"/>
      <c r="JE53" s="49"/>
      <c r="JF53" s="49"/>
      <c r="JG53" s="49"/>
      <c r="JH53" s="49"/>
      <c r="JI53" s="49"/>
      <c r="JJ53" s="49"/>
      <c r="JK53" s="49"/>
      <c r="JL53" s="49"/>
      <c r="JM53" s="49"/>
      <c r="JN53" s="49"/>
      <c r="JO53" s="49"/>
      <c r="JP53" s="49"/>
      <c r="JQ53" s="49"/>
      <c r="JR53" s="49"/>
      <c r="JS53" s="49"/>
      <c r="JT53" s="49"/>
      <c r="JU53" s="49"/>
      <c r="JV53" s="49"/>
      <c r="JW53" s="49"/>
      <c r="JX53" s="49"/>
      <c r="JY53" s="49"/>
      <c r="JZ53" s="49"/>
      <c r="KA53" s="49"/>
      <c r="KB53" s="49"/>
      <c r="KC53" s="49"/>
      <c r="KD53" s="49"/>
      <c r="KE53" s="49"/>
      <c r="KF53" s="49"/>
      <c r="KG53" s="49"/>
      <c r="KH53" s="49"/>
      <c r="KI53" s="49"/>
      <c r="KJ53" s="49"/>
      <c r="KK53" s="49"/>
      <c r="KL53" s="49"/>
      <c r="KM53" s="49"/>
      <c r="KN53" s="49"/>
      <c r="KO53" s="49"/>
      <c r="KP53" s="49"/>
      <c r="KQ53" s="49"/>
      <c r="KR53" s="49"/>
      <c r="KS53" s="49"/>
      <c r="KT53" s="49"/>
      <c r="KU53" s="49"/>
      <c r="KV53" s="49"/>
      <c r="KW53" s="49"/>
      <c r="KX53" s="49"/>
      <c r="KY53" s="49"/>
      <c r="KZ53" s="49"/>
      <c r="LA53" s="49"/>
      <c r="LB53" s="49"/>
      <c r="LC53" s="49"/>
      <c r="LD53" s="49"/>
      <c r="LE53" s="49"/>
      <c r="LF53" s="49"/>
      <c r="LG53" s="49"/>
      <c r="LH53" s="49"/>
      <c r="LI53" s="49"/>
      <c r="LJ53" s="49"/>
      <c r="LK53" s="49"/>
      <c r="LL53" s="49"/>
      <c r="LM53" s="49"/>
      <c r="LN53" s="49"/>
      <c r="LO53" s="49"/>
      <c r="LP53" s="49"/>
      <c r="LQ53" s="49"/>
      <c r="LR53" s="49"/>
      <c r="LS53" s="49"/>
      <c r="LT53" s="49"/>
      <c r="LU53" s="49"/>
      <c r="LV53" s="49"/>
      <c r="LW53" s="49"/>
      <c r="LX53" s="49"/>
      <c r="LY53" s="49"/>
      <c r="LZ53" s="49"/>
      <c r="MA53" s="49"/>
      <c r="MB53" s="49"/>
      <c r="MC53" s="49"/>
      <c r="MD53" s="49"/>
      <c r="ME53" s="49"/>
      <c r="MF53" s="49"/>
      <c r="MG53" s="49"/>
      <c r="MH53" s="49"/>
      <c r="MI53" s="49"/>
      <c r="MJ53" s="49"/>
      <c r="MK53" s="49"/>
      <c r="ML53" s="49"/>
      <c r="MM53" s="49"/>
      <c r="MN53" s="49"/>
      <c r="MO53" s="49"/>
      <c r="MP53" s="49"/>
      <c r="MQ53" s="49"/>
      <c r="MR53" s="49"/>
      <c r="MS53" s="49"/>
      <c r="MT53" s="49"/>
      <c r="MU53" s="49"/>
      <c r="MV53" s="49"/>
      <c r="MW53" s="49"/>
      <c r="MX53" s="49"/>
      <c r="MY53" s="49"/>
      <c r="MZ53" s="49"/>
      <c r="NA53" s="49"/>
      <c r="NB53" s="49"/>
      <c r="NC53" s="49"/>
      <c r="ND53" s="49"/>
      <c r="NE53" s="49"/>
      <c r="NF53" s="49"/>
      <c r="NG53" s="49"/>
      <c r="NH53" s="49"/>
      <c r="NI53" s="49"/>
      <c r="NJ53" s="49"/>
      <c r="NK53" s="49"/>
      <c r="NL53" s="49"/>
      <c r="NM53" s="49"/>
      <c r="NN53" s="49"/>
      <c r="NO53" s="49"/>
      <c r="NP53" s="49"/>
      <c r="NQ53" s="49"/>
      <c r="NR53" s="49"/>
      <c r="NS53" s="49"/>
      <c r="NT53" s="49"/>
      <c r="NU53" s="49"/>
      <c r="NV53" s="49"/>
      <c r="NW53" s="49"/>
      <c r="NX53" s="49"/>
      <c r="NY53" s="49"/>
      <c r="NZ53" s="49"/>
      <c r="OA53" s="49"/>
      <c r="OB53" s="49"/>
      <c r="OC53" s="49"/>
      <c r="OD53" s="49"/>
      <c r="OE53" s="49"/>
      <c r="OF53" s="49"/>
      <c r="OG53" s="49"/>
      <c r="OH53" s="49"/>
      <c r="OI53" s="49"/>
      <c r="OJ53" s="49"/>
      <c r="OK53" s="49"/>
      <c r="OL53" s="49"/>
      <c r="OM53" s="49"/>
      <c r="ON53" s="49"/>
      <c r="OO53" s="49"/>
      <c r="OP53" s="49"/>
      <c r="OQ53" s="49"/>
      <c r="OR53" s="49"/>
      <c r="OS53" s="49"/>
      <c r="OT53" s="49"/>
      <c r="OU53" s="49"/>
      <c r="OV53" s="49"/>
      <c r="OW53" s="49"/>
      <c r="OX53" s="49"/>
      <c r="OY53" s="49"/>
      <c r="OZ53" s="49"/>
      <c r="PA53" s="49"/>
      <c r="PB53" s="49"/>
      <c r="PC53" s="49"/>
      <c r="PD53" s="49"/>
      <c r="PE53" s="49"/>
      <c r="PF53" s="49"/>
      <c r="PG53" s="49"/>
      <c r="PH53" s="49"/>
      <c r="PI53" s="49"/>
      <c r="PJ53" s="49"/>
      <c r="PK53" s="49"/>
      <c r="PL53" s="49"/>
      <c r="PM53" s="49"/>
      <c r="PN53" s="49"/>
      <c r="PO53" s="49"/>
      <c r="PP53" s="49"/>
      <c r="PQ53" s="49"/>
      <c r="PR53" s="49"/>
      <c r="PS53" s="49"/>
      <c r="PT53" s="49"/>
      <c r="PU53" s="49"/>
      <c r="PV53" s="49"/>
      <c r="PW53" s="49"/>
      <c r="PX53" s="49"/>
      <c r="PY53" s="49"/>
      <c r="PZ53" s="49"/>
      <c r="QA53" s="49"/>
      <c r="QB53" s="49"/>
      <c r="QC53" s="49"/>
      <c r="QD53" s="49"/>
      <c r="QE53" s="49"/>
      <c r="QF53" s="49"/>
      <c r="QG53" s="49"/>
      <c r="QH53" s="49"/>
      <c r="QI53" s="49"/>
      <c r="QJ53" s="49"/>
      <c r="QK53" s="49"/>
      <c r="QL53" s="49"/>
      <c r="QM53" s="49"/>
      <c r="QN53" s="49"/>
      <c r="QO53" s="49"/>
      <c r="QP53" s="49"/>
      <c r="QQ53" s="49"/>
      <c r="QR53" s="49"/>
      <c r="QS53" s="49"/>
      <c r="QT53" s="49"/>
      <c r="QU53" s="49"/>
      <c r="QV53" s="49"/>
      <c r="QW53" s="49"/>
      <c r="QX53" s="49"/>
      <c r="QY53" s="49"/>
      <c r="QZ53" s="49"/>
      <c r="RA53" s="49"/>
      <c r="RB53" s="49"/>
      <c r="RC53" s="49"/>
      <c r="RD53" s="49"/>
      <c r="RE53" s="49"/>
      <c r="RF53" s="49"/>
      <c r="RG53" s="49"/>
      <c r="RH53" s="49"/>
      <c r="RI53" s="49"/>
      <c r="RJ53" s="49"/>
      <c r="RK53" s="49"/>
      <c r="RL53" s="49"/>
      <c r="RM53" s="49"/>
      <c r="RN53" s="49"/>
      <c r="RO53" s="49"/>
      <c r="RP53" s="49"/>
      <c r="RQ53" s="49"/>
      <c r="RR53" s="49"/>
      <c r="RS53" s="49"/>
      <c r="RT53" s="49"/>
      <c r="RU53" s="49"/>
      <c r="RV53" s="49"/>
      <c r="RW53" s="49"/>
      <c r="RX53" s="49"/>
      <c r="RY53" s="49"/>
      <c r="RZ53" s="49"/>
      <c r="SA53" s="49"/>
      <c r="SB53" s="49"/>
      <c r="SC53" s="49"/>
      <c r="SD53" s="49"/>
      <c r="SE53" s="49"/>
      <c r="SF53" s="49"/>
      <c r="SG53" s="49"/>
      <c r="SH53" s="49"/>
      <c r="SI53" s="49"/>
      <c r="SJ53" s="49"/>
      <c r="SK53" s="49"/>
      <c r="SL53" s="49"/>
      <c r="SM53" s="49"/>
      <c r="SN53" s="49"/>
      <c r="SO53" s="49"/>
      <c r="SP53" s="49"/>
      <c r="SQ53" s="49"/>
      <c r="SR53" s="49"/>
      <c r="SS53" s="49"/>
      <c r="ST53" s="49"/>
      <c r="SU53" s="49"/>
      <c r="SV53" s="49"/>
      <c r="SW53" s="49"/>
      <c r="SX53" s="49"/>
      <c r="SY53" s="49"/>
      <c r="SZ53" s="49"/>
      <c r="TA53" s="49"/>
      <c r="TB53" s="49"/>
      <c r="TC53" s="49"/>
      <c r="TD53" s="49"/>
      <c r="TE53" s="49"/>
      <c r="TF53" s="49"/>
      <c r="TG53" s="49"/>
      <c r="TH53" s="49"/>
      <c r="TI53" s="49"/>
      <c r="TJ53" s="49"/>
      <c r="TK53" s="49"/>
      <c r="TL53" s="49"/>
      <c r="TM53" s="49"/>
      <c r="TN53" s="49"/>
      <c r="TO53" s="49"/>
      <c r="TP53" s="49"/>
      <c r="TQ53" s="49"/>
      <c r="TR53" s="49"/>
      <c r="TS53" s="49"/>
      <c r="TT53" s="49"/>
      <c r="TU53" s="49"/>
      <c r="TV53" s="49"/>
      <c r="TW53" s="49"/>
      <c r="TX53" s="49"/>
      <c r="TY53" s="49"/>
      <c r="TZ53" s="49"/>
      <c r="UA53" s="49"/>
      <c r="UB53" s="49"/>
      <c r="UC53" s="49"/>
      <c r="UD53" s="49"/>
      <c r="UE53" s="49"/>
      <c r="UF53" s="49"/>
      <c r="UG53" s="49"/>
      <c r="UH53" s="49"/>
      <c r="UI53" s="49"/>
      <c r="UJ53" s="49"/>
      <c r="UK53" s="49"/>
      <c r="UL53" s="49"/>
      <c r="UM53" s="49"/>
      <c r="UN53" s="49"/>
      <c r="UO53" s="49"/>
      <c r="UP53" s="49"/>
      <c r="UQ53" s="49"/>
      <c r="UR53" s="49"/>
      <c r="US53" s="49"/>
      <c r="UT53" s="49"/>
      <c r="UU53" s="49"/>
      <c r="UV53" s="49"/>
      <c r="UW53" s="49"/>
      <c r="UX53" s="49"/>
      <c r="UY53" s="49"/>
      <c r="UZ53" s="49"/>
      <c r="VA53" s="49"/>
      <c r="VB53" s="49"/>
      <c r="VC53" s="49"/>
      <c r="VD53" s="49"/>
      <c r="VE53" s="49"/>
      <c r="VF53" s="49"/>
      <c r="VG53" s="49"/>
      <c r="VH53" s="49"/>
      <c r="VI53" s="49"/>
      <c r="VJ53" s="49"/>
      <c r="VK53" s="49"/>
      <c r="VL53" s="49"/>
      <c r="VM53" s="49"/>
      <c r="VN53" s="49"/>
      <c r="VO53" s="49"/>
      <c r="VP53" s="49"/>
      <c r="VQ53" s="49"/>
      <c r="VR53" s="49"/>
      <c r="VS53" s="49"/>
      <c r="VT53" s="49"/>
      <c r="VU53" s="49"/>
      <c r="VV53" s="49"/>
      <c r="VW53" s="49"/>
      <c r="VX53" s="49"/>
      <c r="VY53" s="49"/>
      <c r="VZ53" s="49"/>
      <c r="WA53" s="49"/>
      <c r="WB53" s="49"/>
      <c r="WC53" s="49"/>
      <c r="WD53" s="49"/>
      <c r="WE53" s="49"/>
      <c r="WF53" s="49"/>
      <c r="WG53" s="49"/>
      <c r="WH53" s="49"/>
      <c r="WI53" s="49"/>
      <c r="WJ53" s="49"/>
      <c r="WK53" s="49"/>
      <c r="WL53" s="49"/>
      <c r="WM53" s="49"/>
      <c r="WN53" s="49"/>
      <c r="WO53" s="49"/>
      <c r="WP53" s="49"/>
      <c r="WQ53" s="49"/>
      <c r="WR53" s="49"/>
      <c r="WS53" s="49"/>
      <c r="WT53" s="49"/>
      <c r="WU53" s="49"/>
      <c r="WV53" s="49"/>
      <c r="WW53" s="49"/>
      <c r="WX53" s="49"/>
      <c r="WY53" s="49"/>
      <c r="WZ53" s="49"/>
      <c r="XA53" s="49"/>
      <c r="XB53" s="49"/>
      <c r="XC53" s="49"/>
      <c r="XD53" s="49"/>
      <c r="XE53" s="49"/>
      <c r="XF53" s="49"/>
      <c r="XG53" s="49"/>
      <c r="XH53" s="49"/>
      <c r="XI53" s="49"/>
      <c r="XJ53" s="49"/>
      <c r="XK53" s="49"/>
      <c r="XL53" s="49"/>
      <c r="XM53" s="49"/>
      <c r="XN53" s="49"/>
      <c r="XO53" s="49"/>
      <c r="XP53" s="49"/>
      <c r="XQ53" s="49"/>
      <c r="XR53" s="49"/>
      <c r="XS53" s="49"/>
      <c r="XT53" s="49"/>
      <c r="XU53" s="49"/>
      <c r="XV53" s="49"/>
      <c r="XW53" s="49"/>
      <c r="XX53" s="49"/>
      <c r="XY53" s="49"/>
      <c r="XZ53" s="49"/>
      <c r="YA53" s="49"/>
      <c r="YB53" s="49"/>
      <c r="YC53" s="49"/>
      <c r="YD53" s="49"/>
      <c r="YE53" s="49"/>
      <c r="YF53" s="49"/>
      <c r="YG53" s="49"/>
      <c r="YH53" s="49"/>
      <c r="YI53" s="49"/>
      <c r="YJ53" s="49"/>
      <c r="YK53" s="49"/>
      <c r="YL53" s="49"/>
      <c r="YM53" s="49"/>
      <c r="YN53" s="49"/>
      <c r="YO53" s="49"/>
      <c r="YP53" s="49"/>
      <c r="YQ53" s="49"/>
      <c r="YR53" s="49"/>
      <c r="YS53" s="49"/>
      <c r="YT53" s="49"/>
      <c r="YU53" s="49"/>
      <c r="YV53" s="49"/>
      <c r="YW53" s="49"/>
      <c r="YX53" s="49"/>
      <c r="YY53" s="49"/>
      <c r="YZ53" s="49"/>
      <c r="ZA53" s="49"/>
      <c r="ZB53" s="49"/>
      <c r="ZC53" s="49"/>
      <c r="ZD53" s="49"/>
      <c r="ZE53" s="49"/>
      <c r="ZF53" s="49"/>
      <c r="ZG53" s="49"/>
      <c r="ZH53" s="49"/>
      <c r="ZI53" s="49"/>
      <c r="ZJ53" s="49"/>
      <c r="ZK53" s="49"/>
      <c r="ZL53" s="49"/>
      <c r="ZM53" s="49"/>
      <c r="ZN53" s="49"/>
      <c r="ZO53" s="49"/>
      <c r="ZP53" s="49"/>
      <c r="ZQ53" s="49"/>
      <c r="ZR53" s="49"/>
      <c r="ZS53" s="49"/>
      <c r="ZT53" s="49"/>
      <c r="ZU53" s="49"/>
      <c r="ZV53" s="49"/>
      <c r="ZW53" s="49"/>
      <c r="ZX53" s="49"/>
      <c r="ZY53" s="49"/>
      <c r="ZZ53" s="49"/>
      <c r="AAA53" s="49"/>
      <c r="AAB53" s="49"/>
      <c r="AAC53" s="49"/>
      <c r="AAD53" s="49"/>
      <c r="AAE53" s="49"/>
      <c r="AAF53" s="49"/>
      <c r="AAG53" s="49"/>
      <c r="AAH53" s="49"/>
      <c r="AAI53" s="49"/>
      <c r="AAJ53" s="49"/>
      <c r="AAK53" s="49"/>
      <c r="AAL53" s="49"/>
      <c r="AAM53" s="49"/>
      <c r="AAN53" s="49"/>
      <c r="AAO53" s="49"/>
      <c r="AAP53" s="49"/>
      <c r="AAQ53" s="49"/>
      <c r="AAR53" s="49"/>
      <c r="AAS53" s="49"/>
      <c r="AAT53" s="49"/>
      <c r="AAU53" s="49"/>
      <c r="AAV53" s="49"/>
      <c r="AAW53" s="49"/>
      <c r="AAX53" s="49"/>
      <c r="AAY53" s="49"/>
      <c r="AAZ53" s="49"/>
      <c r="ABA53" s="49"/>
      <c r="ABB53" s="49"/>
      <c r="ABC53" s="49"/>
      <c r="ABD53" s="49"/>
      <c r="ABE53" s="49"/>
      <c r="ABF53" s="49"/>
      <c r="ABG53" s="49"/>
      <c r="ABH53" s="49"/>
      <c r="ABI53" s="49"/>
      <c r="ABJ53" s="49"/>
      <c r="ABK53" s="49"/>
      <c r="ABL53" s="49"/>
      <c r="ABM53" s="49"/>
      <c r="ABN53" s="49"/>
      <c r="ABO53" s="49"/>
      <c r="ABP53" s="49"/>
      <c r="ABQ53" s="49"/>
      <c r="ABR53" s="49"/>
      <c r="ABS53" s="49"/>
      <c r="ABT53" s="49"/>
      <c r="ABU53" s="49"/>
      <c r="ABV53" s="49"/>
      <c r="ABW53" s="49"/>
      <c r="ABX53" s="49"/>
      <c r="ABY53" s="49"/>
      <c r="ABZ53" s="49"/>
      <c r="ACA53" s="49"/>
      <c r="ACB53" s="49"/>
      <c r="ACC53" s="49"/>
      <c r="ACD53" s="49"/>
      <c r="ACE53" s="49"/>
      <c r="ACF53" s="49"/>
      <c r="ACG53" s="49"/>
      <c r="ACH53" s="49"/>
      <c r="ACI53" s="49"/>
      <c r="ACJ53" s="49"/>
      <c r="ACK53" s="49"/>
      <c r="ACL53" s="49"/>
      <c r="ACM53" s="49"/>
      <c r="ACN53" s="49"/>
      <c r="ACO53" s="49"/>
      <c r="ACP53" s="49"/>
      <c r="ACQ53" s="49"/>
      <c r="ACR53" s="49"/>
      <c r="ACS53" s="49"/>
      <c r="ACT53" s="49"/>
      <c r="ACU53" s="49"/>
      <c r="ACV53" s="49"/>
      <c r="ACW53" s="49"/>
      <c r="ACX53" s="49"/>
      <c r="ACY53" s="49"/>
      <c r="ACZ53" s="49"/>
      <c r="ADA53" s="49"/>
      <c r="ADB53" s="49"/>
      <c r="ADC53" s="49"/>
      <c r="ADD53" s="49"/>
      <c r="ADE53" s="49"/>
      <c r="ADF53" s="49"/>
      <c r="ADG53" s="49"/>
      <c r="ADH53" s="49"/>
      <c r="ADI53" s="49"/>
      <c r="ADJ53" s="49"/>
      <c r="ADK53" s="49"/>
      <c r="ADL53" s="49"/>
      <c r="ADM53" s="49"/>
      <c r="ADN53" s="49"/>
      <c r="ADO53" s="49"/>
      <c r="ADP53" s="49"/>
      <c r="ADQ53" s="49"/>
      <c r="ADR53" s="49"/>
      <c r="ADS53" s="49"/>
      <c r="ADT53" s="49"/>
      <c r="ADU53" s="49"/>
      <c r="ADV53" s="49"/>
      <c r="ADW53" s="49"/>
      <c r="ADX53" s="49"/>
      <c r="ADY53" s="49"/>
      <c r="ADZ53" s="49"/>
      <c r="AEA53" s="49"/>
      <c r="AEB53" s="49"/>
      <c r="AEC53" s="49"/>
      <c r="AED53" s="49"/>
      <c r="AEE53" s="49"/>
      <c r="AEF53" s="49"/>
      <c r="AEG53" s="49"/>
      <c r="AEH53" s="49"/>
      <c r="AEI53" s="49"/>
      <c r="AEJ53" s="49"/>
      <c r="AEK53" s="49"/>
      <c r="AEL53" s="49"/>
      <c r="AEM53" s="49"/>
      <c r="AEN53" s="49"/>
      <c r="AEO53" s="49"/>
      <c r="AEP53" s="49"/>
      <c r="AEQ53" s="49"/>
      <c r="AER53" s="49"/>
      <c r="AES53" s="49"/>
      <c r="AET53" s="49"/>
      <c r="AEU53" s="49"/>
      <c r="AEV53" s="49"/>
      <c r="AEW53" s="49"/>
      <c r="AEX53" s="49"/>
      <c r="AEY53" s="49"/>
      <c r="AEZ53" s="49"/>
      <c r="AFA53" s="49"/>
      <c r="AFB53" s="49"/>
      <c r="AFC53" s="49"/>
      <c r="AFD53" s="49"/>
      <c r="AFE53" s="49"/>
      <c r="AFF53" s="49"/>
      <c r="AFG53" s="49"/>
      <c r="AFH53" s="49"/>
      <c r="AFI53" s="49"/>
      <c r="AFJ53" s="49"/>
      <c r="AFK53" s="49"/>
      <c r="AFL53" s="49"/>
      <c r="AFM53" s="49"/>
      <c r="AFN53" s="49"/>
      <c r="AFO53" s="49"/>
      <c r="AFP53" s="49"/>
      <c r="AFQ53" s="49"/>
      <c r="AFR53" s="49"/>
      <c r="AFS53" s="49"/>
      <c r="AFT53" s="49"/>
      <c r="AFU53" s="49"/>
      <c r="AFV53" s="49"/>
      <c r="AFW53" s="49"/>
      <c r="AFX53" s="49"/>
      <c r="AFY53" s="49"/>
      <c r="AFZ53" s="49"/>
      <c r="AGA53" s="49"/>
      <c r="AGB53" s="49"/>
      <c r="AGC53" s="49"/>
      <c r="AGD53" s="49"/>
      <c r="AGE53" s="49"/>
      <c r="AGF53" s="49"/>
      <c r="AGG53" s="49"/>
      <c r="AGH53" s="49"/>
      <c r="AGI53" s="49"/>
      <c r="AGJ53" s="49"/>
      <c r="AGK53" s="49"/>
      <c r="AGL53" s="49"/>
      <c r="AGM53" s="49"/>
      <c r="AGN53" s="49"/>
      <c r="AGO53" s="49"/>
      <c r="AGP53" s="49"/>
      <c r="AGQ53" s="49"/>
      <c r="AGR53" s="49"/>
      <c r="AGS53" s="49"/>
      <c r="AGT53" s="49"/>
      <c r="AGU53" s="49"/>
      <c r="AGV53" s="49"/>
      <c r="AGW53" s="49"/>
      <c r="AGX53" s="49"/>
      <c r="AGY53" s="49"/>
      <c r="AGZ53" s="49"/>
      <c r="AHA53" s="49"/>
      <c r="AHB53" s="49"/>
      <c r="AHC53" s="49"/>
      <c r="AHD53" s="49"/>
      <c r="AHE53" s="49"/>
      <c r="AHF53" s="49"/>
      <c r="AHG53" s="49"/>
      <c r="AHH53" s="49"/>
      <c r="AHI53" s="49"/>
      <c r="AHJ53" s="49"/>
      <c r="AHK53" s="49"/>
      <c r="AHL53" s="49"/>
      <c r="AHM53" s="49"/>
      <c r="AHN53" s="49"/>
      <c r="AHO53" s="49"/>
      <c r="AHP53" s="49"/>
      <c r="AHQ53" s="49"/>
      <c r="AHR53" s="49"/>
      <c r="AHS53" s="49"/>
      <c r="AHT53" s="49"/>
      <c r="AHU53" s="49"/>
      <c r="AHV53" s="49"/>
      <c r="AHW53" s="49"/>
      <c r="AHX53" s="49"/>
      <c r="AHY53" s="49"/>
      <c r="AHZ53" s="49"/>
      <c r="AIA53" s="49"/>
      <c r="AIB53" s="49"/>
      <c r="AIC53" s="49"/>
      <c r="AID53" s="49"/>
      <c r="AIE53" s="49"/>
      <c r="AIF53" s="49"/>
      <c r="AIG53" s="49"/>
      <c r="AIH53" s="49"/>
      <c r="AII53" s="49"/>
      <c r="AIJ53" s="49"/>
      <c r="AIK53" s="49"/>
      <c r="AIL53" s="49"/>
      <c r="AIM53" s="49"/>
      <c r="AIN53" s="49"/>
      <c r="AIO53" s="49"/>
      <c r="AIP53" s="49"/>
      <c r="AIQ53" s="49"/>
      <c r="AIR53" s="49"/>
      <c r="AIS53" s="49"/>
      <c r="AIT53" s="49"/>
      <c r="AIU53" s="49"/>
      <c r="AIV53" s="49"/>
      <c r="AIW53" s="49"/>
      <c r="AIX53" s="49"/>
      <c r="AIY53" s="49"/>
      <c r="AIZ53" s="49"/>
      <c r="AJA53" s="49"/>
      <c r="AJB53" s="49"/>
      <c r="AJC53" s="49"/>
      <c r="AJD53" s="49"/>
      <c r="AJE53" s="49"/>
      <c r="AJF53" s="49"/>
      <c r="AJG53" s="49"/>
      <c r="AJH53" s="49"/>
      <c r="AJI53" s="49"/>
      <c r="AJJ53" s="49"/>
      <c r="AJK53" s="49"/>
      <c r="AJL53" s="49"/>
      <c r="AJM53" s="49"/>
      <c r="AJN53" s="49"/>
      <c r="AJO53" s="49"/>
      <c r="AJP53" s="49"/>
      <c r="AJQ53" s="49"/>
      <c r="AJR53" s="49"/>
      <c r="AJS53" s="49"/>
      <c r="AJT53" s="49"/>
      <c r="AJU53" s="49"/>
      <c r="AJV53" s="49"/>
      <c r="AJW53" s="49"/>
      <c r="AJX53" s="49"/>
      <c r="AJY53" s="49"/>
      <c r="AJZ53" s="49"/>
      <c r="AKA53" s="49"/>
      <c r="AKB53" s="49"/>
      <c r="AKC53" s="49"/>
      <c r="AKD53" s="49"/>
      <c r="AKE53" s="49"/>
      <c r="AKF53" s="49"/>
      <c r="AKG53" s="49"/>
      <c r="AKH53" s="49"/>
      <c r="AKI53" s="49"/>
      <c r="AKJ53" s="49"/>
      <c r="AKK53" s="49"/>
      <c r="AKL53" s="49"/>
      <c r="AKM53" s="49"/>
      <c r="AKN53" s="49"/>
      <c r="AKO53" s="49"/>
      <c r="AKP53" s="49"/>
      <c r="AKQ53" s="49"/>
      <c r="AKR53" s="49"/>
      <c r="AKS53" s="49"/>
      <c r="AKT53" s="49"/>
      <c r="AKU53" s="49"/>
      <c r="AKV53" s="49"/>
      <c r="AKW53" s="49"/>
      <c r="AKX53" s="49"/>
      <c r="AKY53" s="49"/>
      <c r="AKZ53" s="49"/>
      <c r="ALA53" s="49"/>
      <c r="ALB53" s="49"/>
      <c r="ALC53" s="49"/>
      <c r="ALD53" s="49"/>
      <c r="ALE53" s="49"/>
      <c r="ALF53" s="49"/>
      <c r="ALG53" s="49"/>
      <c r="ALH53" s="49"/>
      <c r="ALI53" s="49"/>
      <c r="ALJ53" s="49"/>
      <c r="ALK53" s="49"/>
      <c r="ALL53" s="49"/>
      <c r="ALM53" s="49"/>
      <c r="ALN53" s="49"/>
      <c r="ALO53" s="49"/>
      <c r="ALP53" s="49"/>
      <c r="ALQ53" s="49"/>
      <c r="ALR53" s="49"/>
      <c r="ALS53" s="49"/>
      <c r="ALT53" s="49"/>
      <c r="ALU53" s="49"/>
      <c r="ALV53" s="49"/>
      <c r="ALW53" s="49"/>
      <c r="ALX53" s="49"/>
      <c r="ALY53" s="49"/>
      <c r="ALZ53" s="49"/>
      <c r="AMA53" s="49"/>
      <c r="AMB53" s="49"/>
      <c r="AMC53" s="49"/>
      <c r="AMD53" s="49"/>
      <c r="AME53" s="49"/>
      <c r="AMF53" s="49"/>
      <c r="AMG53" s="49"/>
      <c r="AMH53" s="49"/>
      <c r="AMI53" s="49"/>
      <c r="AMJ53" s="49"/>
      <c r="AMK53" s="49"/>
    </row>
    <row r="54" spans="1:1025" ht="15" customHeight="1">
      <c r="A54" s="28" t="s">
        <v>15</v>
      </c>
      <c r="B54" s="117"/>
      <c r="C54" s="62"/>
      <c r="D54" s="62" t="s">
        <v>133</v>
      </c>
      <c r="E54" s="56">
        <v>1</v>
      </c>
      <c r="F54" s="91" t="b">
        <v>0</v>
      </c>
      <c r="G54" s="57">
        <v>0.9</v>
      </c>
      <c r="H54" s="57">
        <v>1.9</v>
      </c>
      <c r="I54" s="56" t="s">
        <v>63</v>
      </c>
      <c r="J54" s="56" t="s">
        <v>78</v>
      </c>
      <c r="K54" s="57">
        <v>0.9</v>
      </c>
      <c r="L54" s="57">
        <v>1.9</v>
      </c>
      <c r="M54" s="58">
        <f t="shared" si="9"/>
        <v>1.71</v>
      </c>
      <c r="N54" s="34"/>
      <c r="O54" s="74"/>
      <c r="P54" s="58"/>
      <c r="Q54" s="16"/>
      <c r="R54" s="46"/>
      <c r="S54" s="46"/>
      <c r="T54" s="46"/>
      <c r="U54" s="46"/>
      <c r="V54" s="46"/>
      <c r="W54" s="46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JQ54" s="49"/>
      <c r="JR54" s="49"/>
      <c r="JS54" s="49"/>
      <c r="JT54" s="49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  <c r="KK54" s="49"/>
      <c r="KL54" s="49"/>
      <c r="KM54" s="49"/>
      <c r="KN54" s="49"/>
      <c r="KO54" s="49"/>
      <c r="KP54" s="49"/>
      <c r="KQ54" s="49"/>
      <c r="KR54" s="49"/>
      <c r="KS54" s="49"/>
      <c r="KT54" s="49"/>
      <c r="KU54" s="49"/>
      <c r="KV54" s="49"/>
      <c r="KW54" s="49"/>
      <c r="KX54" s="49"/>
      <c r="KY54" s="49"/>
      <c r="KZ54" s="49"/>
      <c r="LA54" s="49"/>
      <c r="LB54" s="49"/>
      <c r="LC54" s="49"/>
      <c r="LD54" s="49"/>
      <c r="LE54" s="49"/>
      <c r="LF54" s="49"/>
      <c r="LG54" s="49"/>
      <c r="LH54" s="49"/>
      <c r="LI54" s="49"/>
      <c r="LJ54" s="49"/>
      <c r="LK54" s="49"/>
      <c r="LL54" s="49"/>
      <c r="LM54" s="49"/>
      <c r="LN54" s="49"/>
      <c r="LO54" s="49"/>
      <c r="LP54" s="49"/>
      <c r="LQ54" s="49"/>
      <c r="LR54" s="49"/>
      <c r="LS54" s="49"/>
      <c r="LT54" s="49"/>
      <c r="LU54" s="49"/>
      <c r="LV54" s="49"/>
      <c r="LW54" s="49"/>
      <c r="LX54" s="49"/>
      <c r="LY54" s="49"/>
      <c r="LZ54" s="49"/>
      <c r="MA54" s="49"/>
      <c r="MB54" s="49"/>
      <c r="MC54" s="49"/>
      <c r="MD54" s="49"/>
      <c r="ME54" s="49"/>
      <c r="MF54" s="49"/>
      <c r="MG54" s="49"/>
      <c r="MH54" s="49"/>
      <c r="MI54" s="49"/>
      <c r="MJ54" s="49"/>
      <c r="MK54" s="49"/>
      <c r="ML54" s="49"/>
      <c r="MM54" s="49"/>
      <c r="MN54" s="49"/>
      <c r="MO54" s="49"/>
      <c r="MP54" s="49"/>
      <c r="MQ54" s="49"/>
      <c r="MR54" s="49"/>
      <c r="MS54" s="49"/>
      <c r="MT54" s="49"/>
      <c r="MU54" s="49"/>
      <c r="MV54" s="49"/>
      <c r="MW54" s="49"/>
      <c r="MX54" s="49"/>
      <c r="MY54" s="49"/>
      <c r="MZ54" s="49"/>
      <c r="NA54" s="49"/>
      <c r="NB54" s="49"/>
      <c r="NC54" s="49"/>
      <c r="ND54" s="49"/>
      <c r="NE54" s="49"/>
      <c r="NF54" s="49"/>
      <c r="NG54" s="49"/>
      <c r="NH54" s="49"/>
      <c r="NI54" s="49"/>
      <c r="NJ54" s="49"/>
      <c r="NK54" s="49"/>
      <c r="NL54" s="49"/>
      <c r="NM54" s="49"/>
      <c r="NN54" s="49"/>
      <c r="NO54" s="49"/>
      <c r="NP54" s="49"/>
      <c r="NQ54" s="49"/>
      <c r="NR54" s="49"/>
      <c r="NS54" s="49"/>
      <c r="NT54" s="49"/>
      <c r="NU54" s="49"/>
      <c r="NV54" s="49"/>
      <c r="NW54" s="49"/>
      <c r="NX54" s="49"/>
      <c r="NY54" s="49"/>
      <c r="NZ54" s="49"/>
      <c r="OA54" s="49"/>
      <c r="OB54" s="49"/>
      <c r="OC54" s="49"/>
      <c r="OD54" s="49"/>
      <c r="OE54" s="49"/>
      <c r="OF54" s="49"/>
      <c r="OG54" s="49"/>
      <c r="OH54" s="49"/>
      <c r="OI54" s="49"/>
      <c r="OJ54" s="49"/>
      <c r="OK54" s="49"/>
      <c r="OL54" s="49"/>
      <c r="OM54" s="49"/>
      <c r="ON54" s="49"/>
      <c r="OO54" s="49"/>
      <c r="OP54" s="49"/>
      <c r="OQ54" s="49"/>
      <c r="OR54" s="49"/>
      <c r="OS54" s="49"/>
      <c r="OT54" s="49"/>
      <c r="OU54" s="49"/>
      <c r="OV54" s="49"/>
      <c r="OW54" s="49"/>
      <c r="OX54" s="49"/>
      <c r="OY54" s="49"/>
      <c r="OZ54" s="49"/>
      <c r="PA54" s="49"/>
      <c r="PB54" s="49"/>
      <c r="PC54" s="49"/>
      <c r="PD54" s="49"/>
      <c r="PE54" s="49"/>
      <c r="PF54" s="49"/>
      <c r="PG54" s="49"/>
      <c r="PH54" s="49"/>
      <c r="PI54" s="49"/>
      <c r="PJ54" s="49"/>
      <c r="PK54" s="49"/>
      <c r="PL54" s="49"/>
      <c r="PM54" s="49"/>
      <c r="PN54" s="49"/>
      <c r="PO54" s="49"/>
      <c r="PP54" s="49"/>
      <c r="PQ54" s="49"/>
      <c r="PR54" s="49"/>
      <c r="PS54" s="49"/>
      <c r="PT54" s="49"/>
      <c r="PU54" s="49"/>
      <c r="PV54" s="49"/>
      <c r="PW54" s="49"/>
      <c r="PX54" s="49"/>
      <c r="PY54" s="49"/>
      <c r="PZ54" s="49"/>
      <c r="QA54" s="49"/>
      <c r="QB54" s="49"/>
      <c r="QC54" s="49"/>
      <c r="QD54" s="49"/>
      <c r="QE54" s="49"/>
      <c r="QF54" s="49"/>
      <c r="QG54" s="49"/>
      <c r="QH54" s="49"/>
      <c r="QI54" s="49"/>
      <c r="QJ54" s="49"/>
      <c r="QK54" s="49"/>
      <c r="QL54" s="49"/>
      <c r="QM54" s="49"/>
      <c r="QN54" s="49"/>
      <c r="QO54" s="49"/>
      <c r="QP54" s="49"/>
      <c r="QQ54" s="49"/>
      <c r="QR54" s="49"/>
      <c r="QS54" s="49"/>
      <c r="QT54" s="49"/>
      <c r="QU54" s="49"/>
      <c r="QV54" s="49"/>
      <c r="QW54" s="49"/>
      <c r="QX54" s="49"/>
      <c r="QY54" s="49"/>
      <c r="QZ54" s="49"/>
      <c r="RA54" s="49"/>
      <c r="RB54" s="49"/>
      <c r="RC54" s="49"/>
      <c r="RD54" s="49"/>
      <c r="RE54" s="49"/>
      <c r="RF54" s="49"/>
      <c r="RG54" s="49"/>
      <c r="RH54" s="49"/>
      <c r="RI54" s="49"/>
      <c r="RJ54" s="49"/>
      <c r="RK54" s="49"/>
      <c r="RL54" s="49"/>
      <c r="RM54" s="49"/>
      <c r="RN54" s="49"/>
      <c r="RO54" s="49"/>
      <c r="RP54" s="49"/>
      <c r="RQ54" s="49"/>
      <c r="RR54" s="49"/>
      <c r="RS54" s="49"/>
      <c r="RT54" s="49"/>
      <c r="RU54" s="49"/>
      <c r="RV54" s="49"/>
      <c r="RW54" s="49"/>
      <c r="RX54" s="49"/>
      <c r="RY54" s="49"/>
      <c r="RZ54" s="49"/>
      <c r="SA54" s="49"/>
      <c r="SB54" s="49"/>
      <c r="SC54" s="49"/>
      <c r="SD54" s="49"/>
      <c r="SE54" s="49"/>
      <c r="SF54" s="49"/>
      <c r="SG54" s="49"/>
      <c r="SH54" s="49"/>
      <c r="SI54" s="49"/>
      <c r="SJ54" s="49"/>
      <c r="SK54" s="49"/>
      <c r="SL54" s="49"/>
      <c r="SM54" s="49"/>
      <c r="SN54" s="49"/>
      <c r="SO54" s="49"/>
      <c r="SP54" s="49"/>
      <c r="SQ54" s="49"/>
      <c r="SR54" s="49"/>
      <c r="SS54" s="49"/>
      <c r="ST54" s="49"/>
      <c r="SU54" s="49"/>
      <c r="SV54" s="49"/>
      <c r="SW54" s="49"/>
      <c r="SX54" s="49"/>
      <c r="SY54" s="49"/>
      <c r="SZ54" s="49"/>
      <c r="TA54" s="49"/>
      <c r="TB54" s="49"/>
      <c r="TC54" s="49"/>
      <c r="TD54" s="49"/>
      <c r="TE54" s="49"/>
      <c r="TF54" s="49"/>
      <c r="TG54" s="49"/>
      <c r="TH54" s="49"/>
      <c r="TI54" s="49"/>
      <c r="TJ54" s="49"/>
      <c r="TK54" s="49"/>
      <c r="TL54" s="49"/>
      <c r="TM54" s="49"/>
      <c r="TN54" s="49"/>
      <c r="TO54" s="49"/>
      <c r="TP54" s="49"/>
      <c r="TQ54" s="49"/>
      <c r="TR54" s="49"/>
      <c r="TS54" s="49"/>
      <c r="TT54" s="49"/>
      <c r="TU54" s="49"/>
      <c r="TV54" s="49"/>
      <c r="TW54" s="49"/>
      <c r="TX54" s="49"/>
      <c r="TY54" s="49"/>
      <c r="TZ54" s="49"/>
      <c r="UA54" s="49"/>
      <c r="UB54" s="49"/>
      <c r="UC54" s="49"/>
      <c r="UD54" s="49"/>
      <c r="UE54" s="49"/>
      <c r="UF54" s="49"/>
      <c r="UG54" s="49"/>
      <c r="UH54" s="49"/>
      <c r="UI54" s="49"/>
      <c r="UJ54" s="49"/>
      <c r="UK54" s="49"/>
      <c r="UL54" s="49"/>
      <c r="UM54" s="49"/>
      <c r="UN54" s="49"/>
      <c r="UO54" s="49"/>
      <c r="UP54" s="49"/>
      <c r="UQ54" s="49"/>
      <c r="UR54" s="49"/>
      <c r="US54" s="49"/>
      <c r="UT54" s="49"/>
      <c r="UU54" s="49"/>
      <c r="UV54" s="49"/>
      <c r="UW54" s="49"/>
      <c r="UX54" s="49"/>
      <c r="UY54" s="49"/>
      <c r="UZ54" s="49"/>
      <c r="VA54" s="49"/>
      <c r="VB54" s="49"/>
      <c r="VC54" s="49"/>
      <c r="VD54" s="49"/>
      <c r="VE54" s="49"/>
      <c r="VF54" s="49"/>
      <c r="VG54" s="49"/>
      <c r="VH54" s="49"/>
      <c r="VI54" s="49"/>
      <c r="VJ54" s="49"/>
      <c r="VK54" s="49"/>
      <c r="VL54" s="49"/>
      <c r="VM54" s="49"/>
      <c r="VN54" s="49"/>
      <c r="VO54" s="49"/>
      <c r="VP54" s="49"/>
      <c r="VQ54" s="49"/>
      <c r="VR54" s="49"/>
      <c r="VS54" s="49"/>
      <c r="VT54" s="49"/>
      <c r="VU54" s="49"/>
      <c r="VV54" s="49"/>
      <c r="VW54" s="49"/>
      <c r="VX54" s="49"/>
      <c r="VY54" s="49"/>
      <c r="VZ54" s="49"/>
      <c r="WA54" s="49"/>
      <c r="WB54" s="49"/>
      <c r="WC54" s="49"/>
      <c r="WD54" s="49"/>
      <c r="WE54" s="49"/>
      <c r="WF54" s="49"/>
      <c r="WG54" s="49"/>
      <c r="WH54" s="49"/>
      <c r="WI54" s="49"/>
      <c r="WJ54" s="49"/>
      <c r="WK54" s="49"/>
      <c r="WL54" s="49"/>
      <c r="WM54" s="49"/>
      <c r="WN54" s="49"/>
      <c r="WO54" s="49"/>
      <c r="WP54" s="49"/>
      <c r="WQ54" s="49"/>
      <c r="WR54" s="49"/>
      <c r="WS54" s="49"/>
      <c r="WT54" s="49"/>
      <c r="WU54" s="49"/>
      <c r="WV54" s="49"/>
      <c r="WW54" s="49"/>
      <c r="WX54" s="49"/>
      <c r="WY54" s="49"/>
      <c r="WZ54" s="49"/>
      <c r="XA54" s="49"/>
      <c r="XB54" s="49"/>
      <c r="XC54" s="49"/>
      <c r="XD54" s="49"/>
      <c r="XE54" s="49"/>
      <c r="XF54" s="49"/>
      <c r="XG54" s="49"/>
      <c r="XH54" s="49"/>
      <c r="XI54" s="49"/>
      <c r="XJ54" s="49"/>
      <c r="XK54" s="49"/>
      <c r="XL54" s="49"/>
      <c r="XM54" s="49"/>
      <c r="XN54" s="49"/>
      <c r="XO54" s="49"/>
      <c r="XP54" s="49"/>
      <c r="XQ54" s="49"/>
      <c r="XR54" s="49"/>
      <c r="XS54" s="49"/>
      <c r="XT54" s="49"/>
      <c r="XU54" s="49"/>
      <c r="XV54" s="49"/>
      <c r="XW54" s="49"/>
      <c r="XX54" s="49"/>
      <c r="XY54" s="49"/>
      <c r="XZ54" s="49"/>
      <c r="YA54" s="49"/>
      <c r="YB54" s="49"/>
      <c r="YC54" s="49"/>
      <c r="YD54" s="49"/>
      <c r="YE54" s="49"/>
      <c r="YF54" s="49"/>
      <c r="YG54" s="49"/>
      <c r="YH54" s="49"/>
      <c r="YI54" s="49"/>
      <c r="YJ54" s="49"/>
      <c r="YK54" s="49"/>
      <c r="YL54" s="49"/>
      <c r="YM54" s="49"/>
      <c r="YN54" s="49"/>
      <c r="YO54" s="49"/>
      <c r="YP54" s="49"/>
      <c r="YQ54" s="49"/>
      <c r="YR54" s="49"/>
      <c r="YS54" s="49"/>
      <c r="YT54" s="49"/>
      <c r="YU54" s="49"/>
      <c r="YV54" s="49"/>
      <c r="YW54" s="49"/>
      <c r="YX54" s="49"/>
      <c r="YY54" s="49"/>
      <c r="YZ54" s="49"/>
      <c r="ZA54" s="49"/>
      <c r="ZB54" s="49"/>
      <c r="ZC54" s="49"/>
      <c r="ZD54" s="49"/>
      <c r="ZE54" s="49"/>
      <c r="ZF54" s="49"/>
      <c r="ZG54" s="49"/>
      <c r="ZH54" s="49"/>
      <c r="ZI54" s="49"/>
      <c r="ZJ54" s="49"/>
      <c r="ZK54" s="49"/>
      <c r="ZL54" s="49"/>
      <c r="ZM54" s="49"/>
      <c r="ZN54" s="49"/>
      <c r="ZO54" s="49"/>
      <c r="ZP54" s="49"/>
      <c r="ZQ54" s="49"/>
      <c r="ZR54" s="49"/>
      <c r="ZS54" s="49"/>
      <c r="ZT54" s="49"/>
      <c r="ZU54" s="49"/>
      <c r="ZV54" s="49"/>
      <c r="ZW54" s="49"/>
      <c r="ZX54" s="49"/>
      <c r="ZY54" s="49"/>
      <c r="ZZ54" s="49"/>
      <c r="AAA54" s="49"/>
      <c r="AAB54" s="49"/>
      <c r="AAC54" s="49"/>
      <c r="AAD54" s="49"/>
      <c r="AAE54" s="49"/>
      <c r="AAF54" s="49"/>
      <c r="AAG54" s="49"/>
      <c r="AAH54" s="49"/>
      <c r="AAI54" s="49"/>
      <c r="AAJ54" s="49"/>
      <c r="AAK54" s="49"/>
      <c r="AAL54" s="49"/>
      <c r="AAM54" s="49"/>
      <c r="AAN54" s="49"/>
      <c r="AAO54" s="49"/>
      <c r="AAP54" s="49"/>
      <c r="AAQ54" s="49"/>
      <c r="AAR54" s="49"/>
      <c r="AAS54" s="49"/>
      <c r="AAT54" s="49"/>
      <c r="AAU54" s="49"/>
      <c r="AAV54" s="49"/>
      <c r="AAW54" s="49"/>
      <c r="AAX54" s="49"/>
      <c r="AAY54" s="49"/>
      <c r="AAZ54" s="49"/>
      <c r="ABA54" s="49"/>
      <c r="ABB54" s="49"/>
      <c r="ABC54" s="49"/>
      <c r="ABD54" s="49"/>
      <c r="ABE54" s="49"/>
      <c r="ABF54" s="49"/>
      <c r="ABG54" s="49"/>
      <c r="ABH54" s="49"/>
      <c r="ABI54" s="49"/>
      <c r="ABJ54" s="49"/>
      <c r="ABK54" s="49"/>
      <c r="ABL54" s="49"/>
      <c r="ABM54" s="49"/>
      <c r="ABN54" s="49"/>
      <c r="ABO54" s="49"/>
      <c r="ABP54" s="49"/>
      <c r="ABQ54" s="49"/>
      <c r="ABR54" s="49"/>
      <c r="ABS54" s="49"/>
      <c r="ABT54" s="49"/>
      <c r="ABU54" s="49"/>
      <c r="ABV54" s="49"/>
      <c r="ABW54" s="49"/>
      <c r="ABX54" s="49"/>
      <c r="ABY54" s="49"/>
      <c r="ABZ54" s="49"/>
      <c r="ACA54" s="49"/>
      <c r="ACB54" s="49"/>
      <c r="ACC54" s="49"/>
      <c r="ACD54" s="49"/>
      <c r="ACE54" s="49"/>
      <c r="ACF54" s="49"/>
      <c r="ACG54" s="49"/>
      <c r="ACH54" s="49"/>
      <c r="ACI54" s="49"/>
      <c r="ACJ54" s="49"/>
      <c r="ACK54" s="49"/>
      <c r="ACL54" s="49"/>
      <c r="ACM54" s="49"/>
      <c r="ACN54" s="49"/>
      <c r="ACO54" s="49"/>
      <c r="ACP54" s="49"/>
      <c r="ACQ54" s="49"/>
      <c r="ACR54" s="49"/>
      <c r="ACS54" s="49"/>
      <c r="ACT54" s="49"/>
      <c r="ACU54" s="49"/>
      <c r="ACV54" s="49"/>
      <c r="ACW54" s="49"/>
      <c r="ACX54" s="49"/>
      <c r="ACY54" s="49"/>
      <c r="ACZ54" s="49"/>
      <c r="ADA54" s="49"/>
      <c r="ADB54" s="49"/>
      <c r="ADC54" s="49"/>
      <c r="ADD54" s="49"/>
      <c r="ADE54" s="49"/>
      <c r="ADF54" s="49"/>
      <c r="ADG54" s="49"/>
      <c r="ADH54" s="49"/>
      <c r="ADI54" s="49"/>
      <c r="ADJ54" s="49"/>
      <c r="ADK54" s="49"/>
      <c r="ADL54" s="49"/>
      <c r="ADM54" s="49"/>
      <c r="ADN54" s="49"/>
      <c r="ADO54" s="49"/>
      <c r="ADP54" s="49"/>
      <c r="ADQ54" s="49"/>
      <c r="ADR54" s="49"/>
      <c r="ADS54" s="49"/>
      <c r="ADT54" s="49"/>
      <c r="ADU54" s="49"/>
      <c r="ADV54" s="49"/>
      <c r="ADW54" s="49"/>
      <c r="ADX54" s="49"/>
      <c r="ADY54" s="49"/>
      <c r="ADZ54" s="49"/>
      <c r="AEA54" s="49"/>
      <c r="AEB54" s="49"/>
      <c r="AEC54" s="49"/>
      <c r="AED54" s="49"/>
      <c r="AEE54" s="49"/>
      <c r="AEF54" s="49"/>
      <c r="AEG54" s="49"/>
      <c r="AEH54" s="49"/>
      <c r="AEI54" s="49"/>
      <c r="AEJ54" s="49"/>
      <c r="AEK54" s="49"/>
      <c r="AEL54" s="49"/>
      <c r="AEM54" s="49"/>
      <c r="AEN54" s="49"/>
      <c r="AEO54" s="49"/>
      <c r="AEP54" s="49"/>
      <c r="AEQ54" s="49"/>
      <c r="AER54" s="49"/>
      <c r="AES54" s="49"/>
      <c r="AET54" s="49"/>
      <c r="AEU54" s="49"/>
      <c r="AEV54" s="49"/>
      <c r="AEW54" s="49"/>
      <c r="AEX54" s="49"/>
      <c r="AEY54" s="49"/>
      <c r="AEZ54" s="49"/>
      <c r="AFA54" s="49"/>
      <c r="AFB54" s="49"/>
      <c r="AFC54" s="49"/>
      <c r="AFD54" s="49"/>
      <c r="AFE54" s="49"/>
      <c r="AFF54" s="49"/>
      <c r="AFG54" s="49"/>
      <c r="AFH54" s="49"/>
      <c r="AFI54" s="49"/>
      <c r="AFJ54" s="49"/>
      <c r="AFK54" s="49"/>
      <c r="AFL54" s="49"/>
      <c r="AFM54" s="49"/>
      <c r="AFN54" s="49"/>
      <c r="AFO54" s="49"/>
      <c r="AFP54" s="49"/>
      <c r="AFQ54" s="49"/>
      <c r="AFR54" s="49"/>
      <c r="AFS54" s="49"/>
      <c r="AFT54" s="49"/>
      <c r="AFU54" s="49"/>
      <c r="AFV54" s="49"/>
      <c r="AFW54" s="49"/>
      <c r="AFX54" s="49"/>
      <c r="AFY54" s="49"/>
      <c r="AFZ54" s="49"/>
      <c r="AGA54" s="49"/>
      <c r="AGB54" s="49"/>
      <c r="AGC54" s="49"/>
      <c r="AGD54" s="49"/>
      <c r="AGE54" s="49"/>
      <c r="AGF54" s="49"/>
      <c r="AGG54" s="49"/>
      <c r="AGH54" s="49"/>
      <c r="AGI54" s="49"/>
      <c r="AGJ54" s="49"/>
      <c r="AGK54" s="49"/>
      <c r="AGL54" s="49"/>
      <c r="AGM54" s="49"/>
      <c r="AGN54" s="49"/>
      <c r="AGO54" s="49"/>
      <c r="AGP54" s="49"/>
      <c r="AGQ54" s="49"/>
      <c r="AGR54" s="49"/>
      <c r="AGS54" s="49"/>
      <c r="AGT54" s="49"/>
      <c r="AGU54" s="49"/>
      <c r="AGV54" s="49"/>
      <c r="AGW54" s="49"/>
      <c r="AGX54" s="49"/>
      <c r="AGY54" s="49"/>
      <c r="AGZ54" s="49"/>
      <c r="AHA54" s="49"/>
      <c r="AHB54" s="49"/>
      <c r="AHC54" s="49"/>
      <c r="AHD54" s="49"/>
      <c r="AHE54" s="49"/>
      <c r="AHF54" s="49"/>
      <c r="AHG54" s="49"/>
      <c r="AHH54" s="49"/>
      <c r="AHI54" s="49"/>
      <c r="AHJ54" s="49"/>
      <c r="AHK54" s="49"/>
      <c r="AHL54" s="49"/>
      <c r="AHM54" s="49"/>
      <c r="AHN54" s="49"/>
      <c r="AHO54" s="49"/>
      <c r="AHP54" s="49"/>
      <c r="AHQ54" s="49"/>
      <c r="AHR54" s="49"/>
      <c r="AHS54" s="49"/>
      <c r="AHT54" s="49"/>
      <c r="AHU54" s="49"/>
      <c r="AHV54" s="49"/>
      <c r="AHW54" s="49"/>
      <c r="AHX54" s="49"/>
      <c r="AHY54" s="49"/>
      <c r="AHZ54" s="49"/>
      <c r="AIA54" s="49"/>
      <c r="AIB54" s="49"/>
      <c r="AIC54" s="49"/>
      <c r="AID54" s="49"/>
      <c r="AIE54" s="49"/>
      <c r="AIF54" s="49"/>
      <c r="AIG54" s="49"/>
      <c r="AIH54" s="49"/>
      <c r="AII54" s="49"/>
      <c r="AIJ54" s="49"/>
      <c r="AIK54" s="49"/>
      <c r="AIL54" s="49"/>
      <c r="AIM54" s="49"/>
      <c r="AIN54" s="49"/>
      <c r="AIO54" s="49"/>
      <c r="AIP54" s="49"/>
      <c r="AIQ54" s="49"/>
      <c r="AIR54" s="49"/>
      <c r="AIS54" s="49"/>
      <c r="AIT54" s="49"/>
      <c r="AIU54" s="49"/>
      <c r="AIV54" s="49"/>
      <c r="AIW54" s="49"/>
      <c r="AIX54" s="49"/>
      <c r="AIY54" s="49"/>
      <c r="AIZ54" s="49"/>
      <c r="AJA54" s="49"/>
      <c r="AJB54" s="49"/>
      <c r="AJC54" s="49"/>
      <c r="AJD54" s="49"/>
      <c r="AJE54" s="49"/>
      <c r="AJF54" s="49"/>
      <c r="AJG54" s="49"/>
      <c r="AJH54" s="49"/>
      <c r="AJI54" s="49"/>
      <c r="AJJ54" s="49"/>
      <c r="AJK54" s="49"/>
      <c r="AJL54" s="49"/>
      <c r="AJM54" s="49"/>
      <c r="AJN54" s="49"/>
      <c r="AJO54" s="49"/>
      <c r="AJP54" s="49"/>
      <c r="AJQ54" s="49"/>
      <c r="AJR54" s="49"/>
      <c r="AJS54" s="49"/>
      <c r="AJT54" s="49"/>
      <c r="AJU54" s="49"/>
      <c r="AJV54" s="49"/>
      <c r="AJW54" s="49"/>
      <c r="AJX54" s="49"/>
      <c r="AJY54" s="49"/>
      <c r="AJZ54" s="49"/>
      <c r="AKA54" s="49"/>
      <c r="AKB54" s="49"/>
      <c r="AKC54" s="49"/>
      <c r="AKD54" s="49"/>
      <c r="AKE54" s="49"/>
      <c r="AKF54" s="49"/>
      <c r="AKG54" s="49"/>
      <c r="AKH54" s="49"/>
      <c r="AKI54" s="49"/>
      <c r="AKJ54" s="49"/>
      <c r="AKK54" s="49"/>
      <c r="AKL54" s="49"/>
      <c r="AKM54" s="49"/>
      <c r="AKN54" s="49"/>
      <c r="AKO54" s="49"/>
      <c r="AKP54" s="49"/>
      <c r="AKQ54" s="49"/>
      <c r="AKR54" s="49"/>
      <c r="AKS54" s="49"/>
      <c r="AKT54" s="49"/>
      <c r="AKU54" s="49"/>
      <c r="AKV54" s="49"/>
      <c r="AKW54" s="49"/>
      <c r="AKX54" s="49"/>
      <c r="AKY54" s="49"/>
      <c r="AKZ54" s="49"/>
      <c r="ALA54" s="49"/>
      <c r="ALB54" s="49"/>
      <c r="ALC54" s="49"/>
      <c r="ALD54" s="49"/>
      <c r="ALE54" s="49"/>
      <c r="ALF54" s="49"/>
      <c r="ALG54" s="49"/>
      <c r="ALH54" s="49"/>
      <c r="ALI54" s="49"/>
      <c r="ALJ54" s="49"/>
      <c r="ALK54" s="49"/>
      <c r="ALL54" s="49"/>
      <c r="ALM54" s="49"/>
      <c r="ALN54" s="49"/>
      <c r="ALO54" s="49"/>
      <c r="ALP54" s="49"/>
      <c r="ALQ54" s="49"/>
      <c r="ALR54" s="49"/>
      <c r="ALS54" s="49"/>
      <c r="ALT54" s="49"/>
      <c r="ALU54" s="49"/>
      <c r="ALV54" s="49"/>
      <c r="ALW54" s="49"/>
      <c r="ALX54" s="49"/>
      <c r="ALY54" s="49"/>
      <c r="ALZ54" s="49"/>
      <c r="AMA54" s="49"/>
      <c r="AMB54" s="49"/>
      <c r="AMC54" s="49"/>
      <c r="AMD54" s="49"/>
      <c r="AME54" s="49"/>
      <c r="AMF54" s="49"/>
      <c r="AMG54" s="49"/>
      <c r="AMH54" s="49"/>
      <c r="AMI54" s="49"/>
      <c r="AMJ54" s="49"/>
      <c r="AMK54" s="49"/>
    </row>
    <row r="55" spans="1:1025" ht="15" customHeight="1">
      <c r="A55" s="28" t="s">
        <v>15</v>
      </c>
      <c r="B55" s="117"/>
      <c r="C55" s="55"/>
      <c r="D55" s="62" t="s">
        <v>134</v>
      </c>
      <c r="E55" s="56">
        <v>1</v>
      </c>
      <c r="F55" s="91" t="b">
        <v>0</v>
      </c>
      <c r="G55" s="57">
        <v>0.9</v>
      </c>
      <c r="H55" s="57">
        <v>1.9</v>
      </c>
      <c r="I55" s="56" t="s">
        <v>63</v>
      </c>
      <c r="J55" s="56" t="s">
        <v>78</v>
      </c>
      <c r="K55" s="57">
        <v>0.9</v>
      </c>
      <c r="L55" s="57">
        <v>1.9</v>
      </c>
      <c r="M55" s="58">
        <f t="shared" si="9"/>
        <v>1.71</v>
      </c>
      <c r="N55" s="34"/>
      <c r="O55" s="74"/>
      <c r="P55" s="57"/>
      <c r="Q55" s="16"/>
      <c r="R55" s="46"/>
      <c r="S55" s="46"/>
      <c r="T55" s="46"/>
      <c r="U55" s="46"/>
      <c r="V55" s="46"/>
      <c r="W55" s="46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49"/>
      <c r="JO55" s="49"/>
      <c r="JP55" s="49"/>
      <c r="JQ55" s="49"/>
      <c r="JR55" s="49"/>
      <c r="JS55" s="49"/>
      <c r="JT55" s="49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  <c r="KK55" s="49"/>
      <c r="KL55" s="49"/>
      <c r="KM55" s="49"/>
      <c r="KN55" s="49"/>
      <c r="KO55" s="49"/>
      <c r="KP55" s="49"/>
      <c r="KQ55" s="49"/>
      <c r="KR55" s="49"/>
      <c r="KS55" s="49"/>
      <c r="KT55" s="49"/>
      <c r="KU55" s="49"/>
      <c r="KV55" s="49"/>
      <c r="KW55" s="49"/>
      <c r="KX55" s="49"/>
      <c r="KY55" s="49"/>
      <c r="KZ55" s="49"/>
      <c r="LA55" s="49"/>
      <c r="LB55" s="49"/>
      <c r="LC55" s="49"/>
      <c r="LD55" s="49"/>
      <c r="LE55" s="49"/>
      <c r="LF55" s="49"/>
      <c r="LG55" s="49"/>
      <c r="LH55" s="49"/>
      <c r="LI55" s="49"/>
      <c r="LJ55" s="49"/>
      <c r="LK55" s="49"/>
      <c r="LL55" s="49"/>
      <c r="LM55" s="49"/>
      <c r="LN55" s="49"/>
      <c r="LO55" s="49"/>
      <c r="LP55" s="49"/>
      <c r="LQ55" s="49"/>
      <c r="LR55" s="49"/>
      <c r="LS55" s="49"/>
      <c r="LT55" s="49"/>
      <c r="LU55" s="49"/>
      <c r="LV55" s="49"/>
      <c r="LW55" s="49"/>
      <c r="LX55" s="49"/>
      <c r="LY55" s="49"/>
      <c r="LZ55" s="49"/>
      <c r="MA55" s="49"/>
      <c r="MB55" s="49"/>
      <c r="MC55" s="49"/>
      <c r="MD55" s="49"/>
      <c r="ME55" s="49"/>
      <c r="MF55" s="49"/>
      <c r="MG55" s="49"/>
      <c r="MH55" s="49"/>
      <c r="MI55" s="49"/>
      <c r="MJ55" s="49"/>
      <c r="MK55" s="49"/>
      <c r="ML55" s="49"/>
      <c r="MM55" s="49"/>
      <c r="MN55" s="49"/>
      <c r="MO55" s="49"/>
      <c r="MP55" s="49"/>
      <c r="MQ55" s="49"/>
      <c r="MR55" s="49"/>
      <c r="MS55" s="49"/>
      <c r="MT55" s="49"/>
      <c r="MU55" s="49"/>
      <c r="MV55" s="49"/>
      <c r="MW55" s="49"/>
      <c r="MX55" s="49"/>
      <c r="MY55" s="49"/>
      <c r="MZ55" s="49"/>
      <c r="NA55" s="49"/>
      <c r="NB55" s="49"/>
      <c r="NC55" s="49"/>
      <c r="ND55" s="49"/>
      <c r="NE55" s="49"/>
      <c r="NF55" s="49"/>
      <c r="NG55" s="49"/>
      <c r="NH55" s="49"/>
      <c r="NI55" s="49"/>
      <c r="NJ55" s="49"/>
      <c r="NK55" s="49"/>
      <c r="NL55" s="49"/>
      <c r="NM55" s="49"/>
      <c r="NN55" s="49"/>
      <c r="NO55" s="49"/>
      <c r="NP55" s="49"/>
      <c r="NQ55" s="49"/>
      <c r="NR55" s="49"/>
      <c r="NS55" s="49"/>
      <c r="NT55" s="49"/>
      <c r="NU55" s="49"/>
      <c r="NV55" s="49"/>
      <c r="NW55" s="49"/>
      <c r="NX55" s="49"/>
      <c r="NY55" s="49"/>
      <c r="NZ55" s="49"/>
      <c r="OA55" s="49"/>
      <c r="OB55" s="49"/>
      <c r="OC55" s="49"/>
      <c r="OD55" s="49"/>
      <c r="OE55" s="49"/>
      <c r="OF55" s="49"/>
      <c r="OG55" s="49"/>
      <c r="OH55" s="49"/>
      <c r="OI55" s="49"/>
      <c r="OJ55" s="49"/>
      <c r="OK55" s="49"/>
      <c r="OL55" s="49"/>
      <c r="OM55" s="49"/>
      <c r="ON55" s="49"/>
      <c r="OO55" s="49"/>
      <c r="OP55" s="49"/>
      <c r="OQ55" s="49"/>
      <c r="OR55" s="49"/>
      <c r="OS55" s="49"/>
      <c r="OT55" s="49"/>
      <c r="OU55" s="49"/>
      <c r="OV55" s="49"/>
      <c r="OW55" s="49"/>
      <c r="OX55" s="49"/>
      <c r="OY55" s="49"/>
      <c r="OZ55" s="49"/>
      <c r="PA55" s="49"/>
      <c r="PB55" s="49"/>
      <c r="PC55" s="49"/>
      <c r="PD55" s="49"/>
      <c r="PE55" s="49"/>
      <c r="PF55" s="49"/>
      <c r="PG55" s="49"/>
      <c r="PH55" s="49"/>
      <c r="PI55" s="49"/>
      <c r="PJ55" s="49"/>
      <c r="PK55" s="49"/>
      <c r="PL55" s="49"/>
      <c r="PM55" s="49"/>
      <c r="PN55" s="49"/>
      <c r="PO55" s="49"/>
      <c r="PP55" s="49"/>
      <c r="PQ55" s="49"/>
      <c r="PR55" s="49"/>
      <c r="PS55" s="49"/>
      <c r="PT55" s="49"/>
      <c r="PU55" s="49"/>
      <c r="PV55" s="49"/>
      <c r="PW55" s="49"/>
      <c r="PX55" s="49"/>
      <c r="PY55" s="49"/>
      <c r="PZ55" s="49"/>
      <c r="QA55" s="49"/>
      <c r="QB55" s="49"/>
      <c r="QC55" s="49"/>
      <c r="QD55" s="49"/>
      <c r="QE55" s="49"/>
      <c r="QF55" s="49"/>
      <c r="QG55" s="49"/>
      <c r="QH55" s="49"/>
      <c r="QI55" s="49"/>
      <c r="QJ55" s="49"/>
      <c r="QK55" s="49"/>
      <c r="QL55" s="49"/>
      <c r="QM55" s="49"/>
      <c r="QN55" s="49"/>
      <c r="QO55" s="49"/>
      <c r="QP55" s="49"/>
      <c r="QQ55" s="49"/>
      <c r="QR55" s="49"/>
      <c r="QS55" s="49"/>
      <c r="QT55" s="49"/>
      <c r="QU55" s="49"/>
      <c r="QV55" s="49"/>
      <c r="QW55" s="49"/>
      <c r="QX55" s="49"/>
      <c r="QY55" s="49"/>
      <c r="QZ55" s="49"/>
      <c r="RA55" s="49"/>
      <c r="RB55" s="49"/>
      <c r="RC55" s="49"/>
      <c r="RD55" s="49"/>
      <c r="RE55" s="49"/>
      <c r="RF55" s="49"/>
      <c r="RG55" s="49"/>
      <c r="RH55" s="49"/>
      <c r="RI55" s="49"/>
      <c r="RJ55" s="49"/>
      <c r="RK55" s="49"/>
      <c r="RL55" s="49"/>
      <c r="RM55" s="49"/>
      <c r="RN55" s="49"/>
      <c r="RO55" s="49"/>
      <c r="RP55" s="49"/>
      <c r="RQ55" s="49"/>
      <c r="RR55" s="49"/>
      <c r="RS55" s="49"/>
      <c r="RT55" s="49"/>
      <c r="RU55" s="49"/>
      <c r="RV55" s="49"/>
      <c r="RW55" s="49"/>
      <c r="RX55" s="49"/>
      <c r="RY55" s="49"/>
      <c r="RZ55" s="49"/>
      <c r="SA55" s="49"/>
      <c r="SB55" s="49"/>
      <c r="SC55" s="49"/>
      <c r="SD55" s="49"/>
      <c r="SE55" s="49"/>
      <c r="SF55" s="49"/>
      <c r="SG55" s="49"/>
      <c r="SH55" s="49"/>
      <c r="SI55" s="49"/>
      <c r="SJ55" s="49"/>
      <c r="SK55" s="49"/>
      <c r="SL55" s="49"/>
      <c r="SM55" s="49"/>
      <c r="SN55" s="49"/>
      <c r="SO55" s="49"/>
      <c r="SP55" s="49"/>
      <c r="SQ55" s="49"/>
      <c r="SR55" s="49"/>
      <c r="SS55" s="49"/>
      <c r="ST55" s="49"/>
      <c r="SU55" s="49"/>
      <c r="SV55" s="49"/>
      <c r="SW55" s="49"/>
      <c r="SX55" s="49"/>
      <c r="SY55" s="49"/>
      <c r="SZ55" s="49"/>
      <c r="TA55" s="49"/>
      <c r="TB55" s="49"/>
      <c r="TC55" s="49"/>
      <c r="TD55" s="49"/>
      <c r="TE55" s="49"/>
      <c r="TF55" s="49"/>
      <c r="TG55" s="49"/>
      <c r="TH55" s="49"/>
      <c r="TI55" s="49"/>
      <c r="TJ55" s="49"/>
      <c r="TK55" s="49"/>
      <c r="TL55" s="49"/>
      <c r="TM55" s="49"/>
      <c r="TN55" s="49"/>
      <c r="TO55" s="49"/>
      <c r="TP55" s="49"/>
      <c r="TQ55" s="49"/>
      <c r="TR55" s="49"/>
      <c r="TS55" s="49"/>
      <c r="TT55" s="49"/>
      <c r="TU55" s="49"/>
      <c r="TV55" s="49"/>
      <c r="TW55" s="49"/>
      <c r="TX55" s="49"/>
      <c r="TY55" s="49"/>
      <c r="TZ55" s="49"/>
      <c r="UA55" s="49"/>
      <c r="UB55" s="49"/>
      <c r="UC55" s="49"/>
      <c r="UD55" s="49"/>
      <c r="UE55" s="49"/>
      <c r="UF55" s="49"/>
      <c r="UG55" s="49"/>
      <c r="UH55" s="49"/>
      <c r="UI55" s="49"/>
      <c r="UJ55" s="49"/>
      <c r="UK55" s="49"/>
      <c r="UL55" s="49"/>
      <c r="UM55" s="49"/>
      <c r="UN55" s="49"/>
      <c r="UO55" s="49"/>
      <c r="UP55" s="49"/>
      <c r="UQ55" s="49"/>
      <c r="UR55" s="49"/>
      <c r="US55" s="49"/>
      <c r="UT55" s="49"/>
      <c r="UU55" s="49"/>
      <c r="UV55" s="49"/>
      <c r="UW55" s="49"/>
      <c r="UX55" s="49"/>
      <c r="UY55" s="49"/>
      <c r="UZ55" s="49"/>
      <c r="VA55" s="49"/>
      <c r="VB55" s="49"/>
      <c r="VC55" s="49"/>
      <c r="VD55" s="49"/>
      <c r="VE55" s="49"/>
      <c r="VF55" s="49"/>
      <c r="VG55" s="49"/>
      <c r="VH55" s="49"/>
      <c r="VI55" s="49"/>
      <c r="VJ55" s="49"/>
      <c r="VK55" s="49"/>
      <c r="VL55" s="49"/>
      <c r="VM55" s="49"/>
      <c r="VN55" s="49"/>
      <c r="VO55" s="49"/>
      <c r="VP55" s="49"/>
      <c r="VQ55" s="49"/>
      <c r="VR55" s="49"/>
      <c r="VS55" s="49"/>
      <c r="VT55" s="49"/>
      <c r="VU55" s="49"/>
      <c r="VV55" s="49"/>
      <c r="VW55" s="49"/>
      <c r="VX55" s="49"/>
      <c r="VY55" s="49"/>
      <c r="VZ55" s="49"/>
      <c r="WA55" s="49"/>
      <c r="WB55" s="49"/>
      <c r="WC55" s="49"/>
      <c r="WD55" s="49"/>
      <c r="WE55" s="49"/>
      <c r="WF55" s="49"/>
      <c r="WG55" s="49"/>
      <c r="WH55" s="49"/>
      <c r="WI55" s="49"/>
      <c r="WJ55" s="49"/>
      <c r="WK55" s="49"/>
      <c r="WL55" s="49"/>
      <c r="WM55" s="49"/>
      <c r="WN55" s="49"/>
      <c r="WO55" s="49"/>
      <c r="WP55" s="49"/>
      <c r="WQ55" s="49"/>
      <c r="WR55" s="49"/>
      <c r="WS55" s="49"/>
      <c r="WT55" s="49"/>
      <c r="WU55" s="49"/>
      <c r="WV55" s="49"/>
      <c r="WW55" s="49"/>
      <c r="WX55" s="49"/>
      <c r="WY55" s="49"/>
      <c r="WZ55" s="49"/>
      <c r="XA55" s="49"/>
      <c r="XB55" s="49"/>
      <c r="XC55" s="49"/>
      <c r="XD55" s="49"/>
      <c r="XE55" s="49"/>
      <c r="XF55" s="49"/>
      <c r="XG55" s="49"/>
      <c r="XH55" s="49"/>
      <c r="XI55" s="49"/>
      <c r="XJ55" s="49"/>
      <c r="XK55" s="49"/>
      <c r="XL55" s="49"/>
      <c r="XM55" s="49"/>
      <c r="XN55" s="49"/>
      <c r="XO55" s="49"/>
      <c r="XP55" s="49"/>
      <c r="XQ55" s="49"/>
      <c r="XR55" s="49"/>
      <c r="XS55" s="49"/>
      <c r="XT55" s="49"/>
      <c r="XU55" s="49"/>
      <c r="XV55" s="49"/>
      <c r="XW55" s="49"/>
      <c r="XX55" s="49"/>
      <c r="XY55" s="49"/>
      <c r="XZ55" s="49"/>
      <c r="YA55" s="49"/>
      <c r="YB55" s="49"/>
      <c r="YC55" s="49"/>
      <c r="YD55" s="49"/>
      <c r="YE55" s="49"/>
      <c r="YF55" s="49"/>
      <c r="YG55" s="49"/>
      <c r="YH55" s="49"/>
      <c r="YI55" s="49"/>
      <c r="YJ55" s="49"/>
      <c r="YK55" s="49"/>
      <c r="YL55" s="49"/>
      <c r="YM55" s="49"/>
      <c r="YN55" s="49"/>
      <c r="YO55" s="49"/>
      <c r="YP55" s="49"/>
      <c r="YQ55" s="49"/>
      <c r="YR55" s="49"/>
      <c r="YS55" s="49"/>
      <c r="YT55" s="49"/>
      <c r="YU55" s="49"/>
      <c r="YV55" s="49"/>
      <c r="YW55" s="49"/>
      <c r="YX55" s="49"/>
      <c r="YY55" s="49"/>
      <c r="YZ55" s="49"/>
      <c r="ZA55" s="49"/>
      <c r="ZB55" s="49"/>
      <c r="ZC55" s="49"/>
      <c r="ZD55" s="49"/>
      <c r="ZE55" s="49"/>
      <c r="ZF55" s="49"/>
      <c r="ZG55" s="49"/>
      <c r="ZH55" s="49"/>
      <c r="ZI55" s="49"/>
      <c r="ZJ55" s="49"/>
      <c r="ZK55" s="49"/>
      <c r="ZL55" s="49"/>
      <c r="ZM55" s="49"/>
      <c r="ZN55" s="49"/>
      <c r="ZO55" s="49"/>
      <c r="ZP55" s="49"/>
      <c r="ZQ55" s="49"/>
      <c r="ZR55" s="49"/>
      <c r="ZS55" s="49"/>
      <c r="ZT55" s="49"/>
      <c r="ZU55" s="49"/>
      <c r="ZV55" s="49"/>
      <c r="ZW55" s="49"/>
      <c r="ZX55" s="49"/>
      <c r="ZY55" s="49"/>
      <c r="ZZ55" s="49"/>
      <c r="AAA55" s="49"/>
      <c r="AAB55" s="49"/>
      <c r="AAC55" s="49"/>
      <c r="AAD55" s="49"/>
      <c r="AAE55" s="49"/>
      <c r="AAF55" s="49"/>
      <c r="AAG55" s="49"/>
      <c r="AAH55" s="49"/>
      <c r="AAI55" s="49"/>
      <c r="AAJ55" s="49"/>
      <c r="AAK55" s="49"/>
      <c r="AAL55" s="49"/>
      <c r="AAM55" s="49"/>
      <c r="AAN55" s="49"/>
      <c r="AAO55" s="49"/>
      <c r="AAP55" s="49"/>
      <c r="AAQ55" s="49"/>
      <c r="AAR55" s="49"/>
      <c r="AAS55" s="49"/>
      <c r="AAT55" s="49"/>
      <c r="AAU55" s="49"/>
      <c r="AAV55" s="49"/>
      <c r="AAW55" s="49"/>
      <c r="AAX55" s="49"/>
      <c r="AAY55" s="49"/>
      <c r="AAZ55" s="49"/>
      <c r="ABA55" s="49"/>
      <c r="ABB55" s="49"/>
      <c r="ABC55" s="49"/>
      <c r="ABD55" s="49"/>
      <c r="ABE55" s="49"/>
      <c r="ABF55" s="49"/>
      <c r="ABG55" s="49"/>
      <c r="ABH55" s="49"/>
      <c r="ABI55" s="49"/>
      <c r="ABJ55" s="49"/>
      <c r="ABK55" s="49"/>
      <c r="ABL55" s="49"/>
      <c r="ABM55" s="49"/>
      <c r="ABN55" s="49"/>
      <c r="ABO55" s="49"/>
      <c r="ABP55" s="49"/>
      <c r="ABQ55" s="49"/>
      <c r="ABR55" s="49"/>
      <c r="ABS55" s="49"/>
      <c r="ABT55" s="49"/>
      <c r="ABU55" s="49"/>
      <c r="ABV55" s="49"/>
      <c r="ABW55" s="49"/>
      <c r="ABX55" s="49"/>
      <c r="ABY55" s="49"/>
      <c r="ABZ55" s="49"/>
      <c r="ACA55" s="49"/>
      <c r="ACB55" s="49"/>
      <c r="ACC55" s="49"/>
      <c r="ACD55" s="49"/>
      <c r="ACE55" s="49"/>
      <c r="ACF55" s="49"/>
      <c r="ACG55" s="49"/>
      <c r="ACH55" s="49"/>
      <c r="ACI55" s="49"/>
      <c r="ACJ55" s="49"/>
      <c r="ACK55" s="49"/>
      <c r="ACL55" s="49"/>
      <c r="ACM55" s="49"/>
      <c r="ACN55" s="49"/>
      <c r="ACO55" s="49"/>
      <c r="ACP55" s="49"/>
      <c r="ACQ55" s="49"/>
      <c r="ACR55" s="49"/>
      <c r="ACS55" s="49"/>
      <c r="ACT55" s="49"/>
      <c r="ACU55" s="49"/>
      <c r="ACV55" s="49"/>
      <c r="ACW55" s="49"/>
      <c r="ACX55" s="49"/>
      <c r="ACY55" s="49"/>
      <c r="ACZ55" s="49"/>
      <c r="ADA55" s="49"/>
      <c r="ADB55" s="49"/>
      <c r="ADC55" s="49"/>
      <c r="ADD55" s="49"/>
      <c r="ADE55" s="49"/>
      <c r="ADF55" s="49"/>
      <c r="ADG55" s="49"/>
      <c r="ADH55" s="49"/>
      <c r="ADI55" s="49"/>
      <c r="ADJ55" s="49"/>
      <c r="ADK55" s="49"/>
      <c r="ADL55" s="49"/>
      <c r="ADM55" s="49"/>
      <c r="ADN55" s="49"/>
      <c r="ADO55" s="49"/>
      <c r="ADP55" s="49"/>
      <c r="ADQ55" s="49"/>
      <c r="ADR55" s="49"/>
      <c r="ADS55" s="49"/>
      <c r="ADT55" s="49"/>
      <c r="ADU55" s="49"/>
      <c r="ADV55" s="49"/>
      <c r="ADW55" s="49"/>
      <c r="ADX55" s="49"/>
      <c r="ADY55" s="49"/>
      <c r="ADZ55" s="49"/>
      <c r="AEA55" s="49"/>
      <c r="AEB55" s="49"/>
      <c r="AEC55" s="49"/>
      <c r="AED55" s="49"/>
      <c r="AEE55" s="49"/>
      <c r="AEF55" s="49"/>
      <c r="AEG55" s="49"/>
      <c r="AEH55" s="49"/>
      <c r="AEI55" s="49"/>
      <c r="AEJ55" s="49"/>
      <c r="AEK55" s="49"/>
      <c r="AEL55" s="49"/>
      <c r="AEM55" s="49"/>
      <c r="AEN55" s="49"/>
      <c r="AEO55" s="49"/>
      <c r="AEP55" s="49"/>
      <c r="AEQ55" s="49"/>
      <c r="AER55" s="49"/>
      <c r="AES55" s="49"/>
      <c r="AET55" s="49"/>
      <c r="AEU55" s="49"/>
      <c r="AEV55" s="49"/>
      <c r="AEW55" s="49"/>
      <c r="AEX55" s="49"/>
      <c r="AEY55" s="49"/>
      <c r="AEZ55" s="49"/>
      <c r="AFA55" s="49"/>
      <c r="AFB55" s="49"/>
      <c r="AFC55" s="49"/>
      <c r="AFD55" s="49"/>
      <c r="AFE55" s="49"/>
      <c r="AFF55" s="49"/>
      <c r="AFG55" s="49"/>
      <c r="AFH55" s="49"/>
      <c r="AFI55" s="49"/>
      <c r="AFJ55" s="49"/>
      <c r="AFK55" s="49"/>
      <c r="AFL55" s="49"/>
      <c r="AFM55" s="49"/>
      <c r="AFN55" s="49"/>
      <c r="AFO55" s="49"/>
      <c r="AFP55" s="49"/>
      <c r="AFQ55" s="49"/>
      <c r="AFR55" s="49"/>
      <c r="AFS55" s="49"/>
      <c r="AFT55" s="49"/>
      <c r="AFU55" s="49"/>
      <c r="AFV55" s="49"/>
      <c r="AFW55" s="49"/>
      <c r="AFX55" s="49"/>
      <c r="AFY55" s="49"/>
      <c r="AFZ55" s="49"/>
      <c r="AGA55" s="49"/>
      <c r="AGB55" s="49"/>
      <c r="AGC55" s="49"/>
      <c r="AGD55" s="49"/>
      <c r="AGE55" s="49"/>
      <c r="AGF55" s="49"/>
      <c r="AGG55" s="49"/>
      <c r="AGH55" s="49"/>
      <c r="AGI55" s="49"/>
      <c r="AGJ55" s="49"/>
      <c r="AGK55" s="49"/>
      <c r="AGL55" s="49"/>
      <c r="AGM55" s="49"/>
      <c r="AGN55" s="49"/>
      <c r="AGO55" s="49"/>
      <c r="AGP55" s="49"/>
      <c r="AGQ55" s="49"/>
      <c r="AGR55" s="49"/>
      <c r="AGS55" s="49"/>
      <c r="AGT55" s="49"/>
      <c r="AGU55" s="49"/>
      <c r="AGV55" s="49"/>
      <c r="AGW55" s="49"/>
      <c r="AGX55" s="49"/>
      <c r="AGY55" s="49"/>
      <c r="AGZ55" s="49"/>
      <c r="AHA55" s="49"/>
      <c r="AHB55" s="49"/>
      <c r="AHC55" s="49"/>
      <c r="AHD55" s="49"/>
      <c r="AHE55" s="49"/>
      <c r="AHF55" s="49"/>
      <c r="AHG55" s="49"/>
      <c r="AHH55" s="49"/>
      <c r="AHI55" s="49"/>
      <c r="AHJ55" s="49"/>
      <c r="AHK55" s="49"/>
      <c r="AHL55" s="49"/>
      <c r="AHM55" s="49"/>
      <c r="AHN55" s="49"/>
      <c r="AHO55" s="49"/>
      <c r="AHP55" s="49"/>
      <c r="AHQ55" s="49"/>
      <c r="AHR55" s="49"/>
      <c r="AHS55" s="49"/>
      <c r="AHT55" s="49"/>
      <c r="AHU55" s="49"/>
      <c r="AHV55" s="49"/>
      <c r="AHW55" s="49"/>
      <c r="AHX55" s="49"/>
      <c r="AHY55" s="49"/>
      <c r="AHZ55" s="49"/>
      <c r="AIA55" s="49"/>
      <c r="AIB55" s="49"/>
      <c r="AIC55" s="49"/>
      <c r="AID55" s="49"/>
      <c r="AIE55" s="49"/>
      <c r="AIF55" s="49"/>
      <c r="AIG55" s="49"/>
      <c r="AIH55" s="49"/>
      <c r="AII55" s="49"/>
      <c r="AIJ55" s="49"/>
      <c r="AIK55" s="49"/>
      <c r="AIL55" s="49"/>
      <c r="AIM55" s="49"/>
      <c r="AIN55" s="49"/>
      <c r="AIO55" s="49"/>
      <c r="AIP55" s="49"/>
      <c r="AIQ55" s="49"/>
      <c r="AIR55" s="49"/>
      <c r="AIS55" s="49"/>
      <c r="AIT55" s="49"/>
      <c r="AIU55" s="49"/>
      <c r="AIV55" s="49"/>
      <c r="AIW55" s="49"/>
      <c r="AIX55" s="49"/>
      <c r="AIY55" s="49"/>
      <c r="AIZ55" s="49"/>
      <c r="AJA55" s="49"/>
      <c r="AJB55" s="49"/>
      <c r="AJC55" s="49"/>
      <c r="AJD55" s="49"/>
      <c r="AJE55" s="49"/>
      <c r="AJF55" s="49"/>
      <c r="AJG55" s="49"/>
      <c r="AJH55" s="49"/>
      <c r="AJI55" s="49"/>
      <c r="AJJ55" s="49"/>
      <c r="AJK55" s="49"/>
      <c r="AJL55" s="49"/>
      <c r="AJM55" s="49"/>
      <c r="AJN55" s="49"/>
      <c r="AJO55" s="49"/>
      <c r="AJP55" s="49"/>
      <c r="AJQ55" s="49"/>
      <c r="AJR55" s="49"/>
      <c r="AJS55" s="49"/>
      <c r="AJT55" s="49"/>
      <c r="AJU55" s="49"/>
      <c r="AJV55" s="49"/>
      <c r="AJW55" s="49"/>
      <c r="AJX55" s="49"/>
      <c r="AJY55" s="49"/>
      <c r="AJZ55" s="49"/>
      <c r="AKA55" s="49"/>
      <c r="AKB55" s="49"/>
      <c r="AKC55" s="49"/>
      <c r="AKD55" s="49"/>
      <c r="AKE55" s="49"/>
      <c r="AKF55" s="49"/>
      <c r="AKG55" s="49"/>
      <c r="AKH55" s="49"/>
      <c r="AKI55" s="49"/>
      <c r="AKJ55" s="49"/>
      <c r="AKK55" s="49"/>
      <c r="AKL55" s="49"/>
      <c r="AKM55" s="49"/>
      <c r="AKN55" s="49"/>
      <c r="AKO55" s="49"/>
      <c r="AKP55" s="49"/>
      <c r="AKQ55" s="49"/>
      <c r="AKR55" s="49"/>
      <c r="AKS55" s="49"/>
      <c r="AKT55" s="49"/>
      <c r="AKU55" s="49"/>
      <c r="AKV55" s="49"/>
      <c r="AKW55" s="49"/>
      <c r="AKX55" s="49"/>
      <c r="AKY55" s="49"/>
      <c r="AKZ55" s="49"/>
      <c r="ALA55" s="49"/>
      <c r="ALB55" s="49"/>
      <c r="ALC55" s="49"/>
      <c r="ALD55" s="49"/>
      <c r="ALE55" s="49"/>
      <c r="ALF55" s="49"/>
      <c r="ALG55" s="49"/>
      <c r="ALH55" s="49"/>
      <c r="ALI55" s="49"/>
      <c r="ALJ55" s="49"/>
      <c r="ALK55" s="49"/>
      <c r="ALL55" s="49"/>
      <c r="ALM55" s="49"/>
      <c r="ALN55" s="49"/>
      <c r="ALO55" s="49"/>
      <c r="ALP55" s="49"/>
      <c r="ALQ55" s="49"/>
      <c r="ALR55" s="49"/>
      <c r="ALS55" s="49"/>
      <c r="ALT55" s="49"/>
      <c r="ALU55" s="49"/>
      <c r="ALV55" s="49"/>
      <c r="ALW55" s="49"/>
      <c r="ALX55" s="49"/>
      <c r="ALY55" s="49"/>
      <c r="ALZ55" s="49"/>
      <c r="AMA55" s="49"/>
      <c r="AMB55" s="49"/>
      <c r="AMC55" s="49"/>
      <c r="AMD55" s="49"/>
      <c r="AME55" s="49"/>
      <c r="AMF55" s="49"/>
      <c r="AMG55" s="49"/>
      <c r="AMH55" s="49"/>
      <c r="AMI55" s="49"/>
      <c r="AMJ55" s="49"/>
      <c r="AMK55" s="49"/>
    </row>
    <row r="56" spans="1:1025" ht="15" customHeight="1">
      <c r="A56" s="28" t="s">
        <v>15</v>
      </c>
      <c r="B56" s="117"/>
      <c r="C56" s="55"/>
      <c r="D56" s="62" t="s">
        <v>135</v>
      </c>
      <c r="E56" s="56">
        <v>1</v>
      </c>
      <c r="F56" s="91" t="b">
        <v>0</v>
      </c>
      <c r="G56" s="57">
        <v>0.9</v>
      </c>
      <c r="H56" s="57">
        <v>1.9</v>
      </c>
      <c r="I56" s="56" t="s">
        <v>63</v>
      </c>
      <c r="J56" s="56" t="s">
        <v>78</v>
      </c>
      <c r="K56" s="57">
        <v>0.9</v>
      </c>
      <c r="L56" s="57">
        <v>1.9</v>
      </c>
      <c r="M56" s="58">
        <f t="shared" si="9"/>
        <v>1.71</v>
      </c>
      <c r="N56" s="34"/>
      <c r="O56" s="74"/>
      <c r="P56" s="57"/>
      <c r="Q56" s="16"/>
      <c r="R56" s="46"/>
      <c r="S56" s="46"/>
      <c r="T56" s="46"/>
      <c r="U56" s="46"/>
      <c r="V56" s="46"/>
      <c r="W56" s="46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49"/>
      <c r="JA56" s="49"/>
      <c r="JB56" s="49"/>
      <c r="JC56" s="49"/>
      <c r="JD56" s="49"/>
      <c r="JE56" s="49"/>
      <c r="JF56" s="49"/>
      <c r="JG56" s="49"/>
      <c r="JH56" s="49"/>
      <c r="JI56" s="49"/>
      <c r="JJ56" s="49"/>
      <c r="JK56" s="49"/>
      <c r="JL56" s="49"/>
      <c r="JM56" s="49"/>
      <c r="JN56" s="49"/>
      <c r="JO56" s="49"/>
      <c r="JP56" s="49"/>
      <c r="JQ56" s="49"/>
      <c r="JR56" s="49"/>
      <c r="JS56" s="49"/>
      <c r="JT56" s="49"/>
      <c r="JU56" s="49"/>
      <c r="JV56" s="49"/>
      <c r="JW56" s="49"/>
      <c r="JX56" s="49"/>
      <c r="JY56" s="49"/>
      <c r="JZ56" s="49"/>
      <c r="KA56" s="49"/>
      <c r="KB56" s="49"/>
      <c r="KC56" s="49"/>
      <c r="KD56" s="49"/>
      <c r="KE56" s="49"/>
      <c r="KF56" s="49"/>
      <c r="KG56" s="49"/>
      <c r="KH56" s="49"/>
      <c r="KI56" s="49"/>
      <c r="KJ56" s="49"/>
      <c r="KK56" s="49"/>
      <c r="KL56" s="49"/>
      <c r="KM56" s="49"/>
      <c r="KN56" s="49"/>
      <c r="KO56" s="49"/>
      <c r="KP56" s="49"/>
      <c r="KQ56" s="49"/>
      <c r="KR56" s="49"/>
      <c r="KS56" s="49"/>
      <c r="KT56" s="49"/>
      <c r="KU56" s="49"/>
      <c r="KV56" s="49"/>
      <c r="KW56" s="49"/>
      <c r="KX56" s="49"/>
      <c r="KY56" s="49"/>
      <c r="KZ56" s="49"/>
      <c r="LA56" s="49"/>
      <c r="LB56" s="49"/>
      <c r="LC56" s="49"/>
      <c r="LD56" s="49"/>
      <c r="LE56" s="49"/>
      <c r="LF56" s="49"/>
      <c r="LG56" s="49"/>
      <c r="LH56" s="49"/>
      <c r="LI56" s="49"/>
      <c r="LJ56" s="49"/>
      <c r="LK56" s="49"/>
      <c r="LL56" s="49"/>
      <c r="LM56" s="49"/>
      <c r="LN56" s="49"/>
      <c r="LO56" s="49"/>
      <c r="LP56" s="49"/>
      <c r="LQ56" s="49"/>
      <c r="LR56" s="49"/>
      <c r="LS56" s="49"/>
      <c r="LT56" s="49"/>
      <c r="LU56" s="49"/>
      <c r="LV56" s="49"/>
      <c r="LW56" s="49"/>
      <c r="LX56" s="49"/>
      <c r="LY56" s="49"/>
      <c r="LZ56" s="49"/>
      <c r="MA56" s="49"/>
      <c r="MB56" s="49"/>
      <c r="MC56" s="49"/>
      <c r="MD56" s="49"/>
      <c r="ME56" s="49"/>
      <c r="MF56" s="49"/>
      <c r="MG56" s="49"/>
      <c r="MH56" s="49"/>
      <c r="MI56" s="49"/>
      <c r="MJ56" s="49"/>
      <c r="MK56" s="49"/>
      <c r="ML56" s="49"/>
      <c r="MM56" s="49"/>
      <c r="MN56" s="49"/>
      <c r="MO56" s="49"/>
      <c r="MP56" s="49"/>
      <c r="MQ56" s="49"/>
      <c r="MR56" s="49"/>
      <c r="MS56" s="49"/>
      <c r="MT56" s="49"/>
      <c r="MU56" s="49"/>
      <c r="MV56" s="49"/>
      <c r="MW56" s="49"/>
      <c r="MX56" s="49"/>
      <c r="MY56" s="49"/>
      <c r="MZ56" s="49"/>
      <c r="NA56" s="49"/>
      <c r="NB56" s="49"/>
      <c r="NC56" s="49"/>
      <c r="ND56" s="49"/>
      <c r="NE56" s="49"/>
      <c r="NF56" s="49"/>
      <c r="NG56" s="49"/>
      <c r="NH56" s="49"/>
      <c r="NI56" s="49"/>
      <c r="NJ56" s="49"/>
      <c r="NK56" s="49"/>
      <c r="NL56" s="49"/>
      <c r="NM56" s="49"/>
      <c r="NN56" s="49"/>
      <c r="NO56" s="49"/>
      <c r="NP56" s="49"/>
      <c r="NQ56" s="49"/>
      <c r="NR56" s="49"/>
      <c r="NS56" s="49"/>
      <c r="NT56" s="49"/>
      <c r="NU56" s="49"/>
      <c r="NV56" s="49"/>
      <c r="NW56" s="49"/>
      <c r="NX56" s="49"/>
      <c r="NY56" s="49"/>
      <c r="NZ56" s="49"/>
      <c r="OA56" s="49"/>
      <c r="OB56" s="49"/>
      <c r="OC56" s="49"/>
      <c r="OD56" s="49"/>
      <c r="OE56" s="49"/>
      <c r="OF56" s="49"/>
      <c r="OG56" s="49"/>
      <c r="OH56" s="49"/>
      <c r="OI56" s="49"/>
      <c r="OJ56" s="49"/>
      <c r="OK56" s="49"/>
      <c r="OL56" s="49"/>
      <c r="OM56" s="49"/>
      <c r="ON56" s="49"/>
      <c r="OO56" s="49"/>
      <c r="OP56" s="49"/>
      <c r="OQ56" s="49"/>
      <c r="OR56" s="49"/>
      <c r="OS56" s="49"/>
      <c r="OT56" s="49"/>
      <c r="OU56" s="49"/>
      <c r="OV56" s="49"/>
      <c r="OW56" s="49"/>
      <c r="OX56" s="49"/>
      <c r="OY56" s="49"/>
      <c r="OZ56" s="49"/>
      <c r="PA56" s="49"/>
      <c r="PB56" s="49"/>
      <c r="PC56" s="49"/>
      <c r="PD56" s="49"/>
      <c r="PE56" s="49"/>
      <c r="PF56" s="49"/>
      <c r="PG56" s="49"/>
      <c r="PH56" s="49"/>
      <c r="PI56" s="49"/>
      <c r="PJ56" s="49"/>
      <c r="PK56" s="49"/>
      <c r="PL56" s="49"/>
      <c r="PM56" s="49"/>
      <c r="PN56" s="49"/>
      <c r="PO56" s="49"/>
      <c r="PP56" s="49"/>
      <c r="PQ56" s="49"/>
      <c r="PR56" s="49"/>
      <c r="PS56" s="49"/>
      <c r="PT56" s="49"/>
      <c r="PU56" s="49"/>
      <c r="PV56" s="49"/>
      <c r="PW56" s="49"/>
      <c r="PX56" s="49"/>
      <c r="PY56" s="49"/>
      <c r="PZ56" s="49"/>
      <c r="QA56" s="49"/>
      <c r="QB56" s="49"/>
      <c r="QC56" s="49"/>
      <c r="QD56" s="49"/>
      <c r="QE56" s="49"/>
      <c r="QF56" s="49"/>
      <c r="QG56" s="49"/>
      <c r="QH56" s="49"/>
      <c r="QI56" s="49"/>
      <c r="QJ56" s="49"/>
      <c r="QK56" s="49"/>
      <c r="QL56" s="49"/>
      <c r="QM56" s="49"/>
      <c r="QN56" s="49"/>
      <c r="QO56" s="49"/>
      <c r="QP56" s="49"/>
      <c r="QQ56" s="49"/>
      <c r="QR56" s="49"/>
      <c r="QS56" s="49"/>
      <c r="QT56" s="49"/>
      <c r="QU56" s="49"/>
      <c r="QV56" s="49"/>
      <c r="QW56" s="49"/>
      <c r="QX56" s="49"/>
      <c r="QY56" s="49"/>
      <c r="QZ56" s="49"/>
      <c r="RA56" s="49"/>
      <c r="RB56" s="49"/>
      <c r="RC56" s="49"/>
      <c r="RD56" s="49"/>
      <c r="RE56" s="49"/>
      <c r="RF56" s="49"/>
      <c r="RG56" s="49"/>
      <c r="RH56" s="49"/>
      <c r="RI56" s="49"/>
      <c r="RJ56" s="49"/>
      <c r="RK56" s="49"/>
      <c r="RL56" s="49"/>
      <c r="RM56" s="49"/>
      <c r="RN56" s="49"/>
      <c r="RO56" s="49"/>
      <c r="RP56" s="49"/>
      <c r="RQ56" s="49"/>
      <c r="RR56" s="49"/>
      <c r="RS56" s="49"/>
      <c r="RT56" s="49"/>
      <c r="RU56" s="49"/>
      <c r="RV56" s="49"/>
      <c r="RW56" s="49"/>
      <c r="RX56" s="49"/>
      <c r="RY56" s="49"/>
      <c r="RZ56" s="49"/>
      <c r="SA56" s="49"/>
      <c r="SB56" s="49"/>
      <c r="SC56" s="49"/>
      <c r="SD56" s="49"/>
      <c r="SE56" s="49"/>
      <c r="SF56" s="49"/>
      <c r="SG56" s="49"/>
      <c r="SH56" s="49"/>
      <c r="SI56" s="49"/>
      <c r="SJ56" s="49"/>
      <c r="SK56" s="49"/>
      <c r="SL56" s="49"/>
      <c r="SM56" s="49"/>
      <c r="SN56" s="49"/>
      <c r="SO56" s="49"/>
      <c r="SP56" s="49"/>
      <c r="SQ56" s="49"/>
      <c r="SR56" s="49"/>
      <c r="SS56" s="49"/>
      <c r="ST56" s="49"/>
      <c r="SU56" s="49"/>
      <c r="SV56" s="49"/>
      <c r="SW56" s="49"/>
      <c r="SX56" s="49"/>
      <c r="SY56" s="49"/>
      <c r="SZ56" s="49"/>
      <c r="TA56" s="49"/>
      <c r="TB56" s="49"/>
      <c r="TC56" s="49"/>
      <c r="TD56" s="49"/>
      <c r="TE56" s="49"/>
      <c r="TF56" s="49"/>
      <c r="TG56" s="49"/>
      <c r="TH56" s="49"/>
      <c r="TI56" s="49"/>
      <c r="TJ56" s="49"/>
      <c r="TK56" s="49"/>
      <c r="TL56" s="49"/>
      <c r="TM56" s="49"/>
      <c r="TN56" s="49"/>
      <c r="TO56" s="49"/>
      <c r="TP56" s="49"/>
      <c r="TQ56" s="49"/>
      <c r="TR56" s="49"/>
      <c r="TS56" s="49"/>
      <c r="TT56" s="49"/>
      <c r="TU56" s="49"/>
      <c r="TV56" s="49"/>
      <c r="TW56" s="49"/>
      <c r="TX56" s="49"/>
      <c r="TY56" s="49"/>
      <c r="TZ56" s="49"/>
      <c r="UA56" s="49"/>
      <c r="UB56" s="49"/>
      <c r="UC56" s="49"/>
      <c r="UD56" s="49"/>
      <c r="UE56" s="49"/>
      <c r="UF56" s="49"/>
      <c r="UG56" s="49"/>
      <c r="UH56" s="49"/>
      <c r="UI56" s="49"/>
      <c r="UJ56" s="49"/>
      <c r="UK56" s="49"/>
      <c r="UL56" s="49"/>
      <c r="UM56" s="49"/>
      <c r="UN56" s="49"/>
      <c r="UO56" s="49"/>
      <c r="UP56" s="49"/>
      <c r="UQ56" s="49"/>
      <c r="UR56" s="49"/>
      <c r="US56" s="49"/>
      <c r="UT56" s="49"/>
      <c r="UU56" s="49"/>
      <c r="UV56" s="49"/>
      <c r="UW56" s="49"/>
      <c r="UX56" s="49"/>
      <c r="UY56" s="49"/>
      <c r="UZ56" s="49"/>
      <c r="VA56" s="49"/>
      <c r="VB56" s="49"/>
      <c r="VC56" s="49"/>
      <c r="VD56" s="49"/>
      <c r="VE56" s="49"/>
      <c r="VF56" s="49"/>
      <c r="VG56" s="49"/>
      <c r="VH56" s="49"/>
      <c r="VI56" s="49"/>
      <c r="VJ56" s="49"/>
      <c r="VK56" s="49"/>
      <c r="VL56" s="49"/>
      <c r="VM56" s="49"/>
      <c r="VN56" s="49"/>
      <c r="VO56" s="49"/>
      <c r="VP56" s="49"/>
      <c r="VQ56" s="49"/>
      <c r="VR56" s="49"/>
      <c r="VS56" s="49"/>
      <c r="VT56" s="49"/>
      <c r="VU56" s="49"/>
      <c r="VV56" s="49"/>
      <c r="VW56" s="49"/>
      <c r="VX56" s="49"/>
      <c r="VY56" s="49"/>
      <c r="VZ56" s="49"/>
      <c r="WA56" s="49"/>
      <c r="WB56" s="49"/>
      <c r="WC56" s="49"/>
      <c r="WD56" s="49"/>
      <c r="WE56" s="49"/>
      <c r="WF56" s="49"/>
      <c r="WG56" s="49"/>
      <c r="WH56" s="49"/>
      <c r="WI56" s="49"/>
      <c r="WJ56" s="49"/>
      <c r="WK56" s="49"/>
      <c r="WL56" s="49"/>
      <c r="WM56" s="49"/>
      <c r="WN56" s="49"/>
      <c r="WO56" s="49"/>
      <c r="WP56" s="49"/>
      <c r="WQ56" s="49"/>
      <c r="WR56" s="49"/>
      <c r="WS56" s="49"/>
      <c r="WT56" s="49"/>
      <c r="WU56" s="49"/>
      <c r="WV56" s="49"/>
      <c r="WW56" s="49"/>
      <c r="WX56" s="49"/>
      <c r="WY56" s="49"/>
      <c r="WZ56" s="49"/>
      <c r="XA56" s="49"/>
      <c r="XB56" s="49"/>
      <c r="XC56" s="49"/>
      <c r="XD56" s="49"/>
      <c r="XE56" s="49"/>
      <c r="XF56" s="49"/>
      <c r="XG56" s="49"/>
      <c r="XH56" s="49"/>
      <c r="XI56" s="49"/>
      <c r="XJ56" s="49"/>
      <c r="XK56" s="49"/>
      <c r="XL56" s="49"/>
      <c r="XM56" s="49"/>
      <c r="XN56" s="49"/>
      <c r="XO56" s="49"/>
      <c r="XP56" s="49"/>
      <c r="XQ56" s="49"/>
      <c r="XR56" s="49"/>
      <c r="XS56" s="49"/>
      <c r="XT56" s="49"/>
      <c r="XU56" s="49"/>
      <c r="XV56" s="49"/>
      <c r="XW56" s="49"/>
      <c r="XX56" s="49"/>
      <c r="XY56" s="49"/>
      <c r="XZ56" s="49"/>
      <c r="YA56" s="49"/>
      <c r="YB56" s="49"/>
      <c r="YC56" s="49"/>
      <c r="YD56" s="49"/>
      <c r="YE56" s="49"/>
      <c r="YF56" s="49"/>
      <c r="YG56" s="49"/>
      <c r="YH56" s="49"/>
      <c r="YI56" s="49"/>
      <c r="YJ56" s="49"/>
      <c r="YK56" s="49"/>
      <c r="YL56" s="49"/>
      <c r="YM56" s="49"/>
      <c r="YN56" s="49"/>
      <c r="YO56" s="49"/>
      <c r="YP56" s="49"/>
      <c r="YQ56" s="49"/>
      <c r="YR56" s="49"/>
      <c r="YS56" s="49"/>
      <c r="YT56" s="49"/>
      <c r="YU56" s="49"/>
      <c r="YV56" s="49"/>
      <c r="YW56" s="49"/>
      <c r="YX56" s="49"/>
      <c r="YY56" s="49"/>
      <c r="YZ56" s="49"/>
      <c r="ZA56" s="49"/>
      <c r="ZB56" s="49"/>
      <c r="ZC56" s="49"/>
      <c r="ZD56" s="49"/>
      <c r="ZE56" s="49"/>
      <c r="ZF56" s="49"/>
      <c r="ZG56" s="49"/>
      <c r="ZH56" s="49"/>
      <c r="ZI56" s="49"/>
      <c r="ZJ56" s="49"/>
      <c r="ZK56" s="49"/>
      <c r="ZL56" s="49"/>
      <c r="ZM56" s="49"/>
      <c r="ZN56" s="49"/>
      <c r="ZO56" s="49"/>
      <c r="ZP56" s="49"/>
      <c r="ZQ56" s="49"/>
      <c r="ZR56" s="49"/>
      <c r="ZS56" s="49"/>
      <c r="ZT56" s="49"/>
      <c r="ZU56" s="49"/>
      <c r="ZV56" s="49"/>
      <c r="ZW56" s="49"/>
      <c r="ZX56" s="49"/>
      <c r="ZY56" s="49"/>
      <c r="ZZ56" s="49"/>
      <c r="AAA56" s="49"/>
      <c r="AAB56" s="49"/>
      <c r="AAC56" s="49"/>
      <c r="AAD56" s="49"/>
      <c r="AAE56" s="49"/>
      <c r="AAF56" s="49"/>
      <c r="AAG56" s="49"/>
      <c r="AAH56" s="49"/>
      <c r="AAI56" s="49"/>
      <c r="AAJ56" s="49"/>
      <c r="AAK56" s="49"/>
      <c r="AAL56" s="49"/>
      <c r="AAM56" s="49"/>
      <c r="AAN56" s="49"/>
      <c r="AAO56" s="49"/>
      <c r="AAP56" s="49"/>
      <c r="AAQ56" s="49"/>
      <c r="AAR56" s="49"/>
      <c r="AAS56" s="49"/>
      <c r="AAT56" s="49"/>
      <c r="AAU56" s="49"/>
      <c r="AAV56" s="49"/>
      <c r="AAW56" s="49"/>
      <c r="AAX56" s="49"/>
      <c r="AAY56" s="49"/>
      <c r="AAZ56" s="49"/>
      <c r="ABA56" s="49"/>
      <c r="ABB56" s="49"/>
      <c r="ABC56" s="49"/>
      <c r="ABD56" s="49"/>
      <c r="ABE56" s="49"/>
      <c r="ABF56" s="49"/>
      <c r="ABG56" s="49"/>
      <c r="ABH56" s="49"/>
      <c r="ABI56" s="49"/>
      <c r="ABJ56" s="49"/>
      <c r="ABK56" s="49"/>
      <c r="ABL56" s="49"/>
      <c r="ABM56" s="49"/>
      <c r="ABN56" s="49"/>
      <c r="ABO56" s="49"/>
      <c r="ABP56" s="49"/>
      <c r="ABQ56" s="49"/>
      <c r="ABR56" s="49"/>
      <c r="ABS56" s="49"/>
      <c r="ABT56" s="49"/>
      <c r="ABU56" s="49"/>
      <c r="ABV56" s="49"/>
      <c r="ABW56" s="49"/>
      <c r="ABX56" s="49"/>
      <c r="ABY56" s="49"/>
      <c r="ABZ56" s="49"/>
      <c r="ACA56" s="49"/>
      <c r="ACB56" s="49"/>
      <c r="ACC56" s="49"/>
      <c r="ACD56" s="49"/>
      <c r="ACE56" s="49"/>
      <c r="ACF56" s="49"/>
      <c r="ACG56" s="49"/>
      <c r="ACH56" s="49"/>
      <c r="ACI56" s="49"/>
      <c r="ACJ56" s="49"/>
      <c r="ACK56" s="49"/>
      <c r="ACL56" s="49"/>
      <c r="ACM56" s="49"/>
      <c r="ACN56" s="49"/>
      <c r="ACO56" s="49"/>
      <c r="ACP56" s="49"/>
      <c r="ACQ56" s="49"/>
      <c r="ACR56" s="49"/>
      <c r="ACS56" s="49"/>
      <c r="ACT56" s="49"/>
      <c r="ACU56" s="49"/>
      <c r="ACV56" s="49"/>
      <c r="ACW56" s="49"/>
      <c r="ACX56" s="49"/>
      <c r="ACY56" s="49"/>
      <c r="ACZ56" s="49"/>
      <c r="ADA56" s="49"/>
      <c r="ADB56" s="49"/>
      <c r="ADC56" s="49"/>
      <c r="ADD56" s="49"/>
      <c r="ADE56" s="49"/>
      <c r="ADF56" s="49"/>
      <c r="ADG56" s="49"/>
      <c r="ADH56" s="49"/>
      <c r="ADI56" s="49"/>
      <c r="ADJ56" s="49"/>
      <c r="ADK56" s="49"/>
      <c r="ADL56" s="49"/>
      <c r="ADM56" s="49"/>
      <c r="ADN56" s="49"/>
      <c r="ADO56" s="49"/>
      <c r="ADP56" s="49"/>
      <c r="ADQ56" s="49"/>
      <c r="ADR56" s="49"/>
      <c r="ADS56" s="49"/>
      <c r="ADT56" s="49"/>
      <c r="ADU56" s="49"/>
      <c r="ADV56" s="49"/>
      <c r="ADW56" s="49"/>
      <c r="ADX56" s="49"/>
      <c r="ADY56" s="49"/>
      <c r="ADZ56" s="49"/>
      <c r="AEA56" s="49"/>
      <c r="AEB56" s="49"/>
      <c r="AEC56" s="49"/>
      <c r="AED56" s="49"/>
      <c r="AEE56" s="49"/>
      <c r="AEF56" s="49"/>
      <c r="AEG56" s="49"/>
      <c r="AEH56" s="49"/>
      <c r="AEI56" s="49"/>
      <c r="AEJ56" s="49"/>
      <c r="AEK56" s="49"/>
      <c r="AEL56" s="49"/>
      <c r="AEM56" s="49"/>
      <c r="AEN56" s="49"/>
      <c r="AEO56" s="49"/>
      <c r="AEP56" s="49"/>
      <c r="AEQ56" s="49"/>
      <c r="AER56" s="49"/>
      <c r="AES56" s="49"/>
      <c r="AET56" s="49"/>
      <c r="AEU56" s="49"/>
      <c r="AEV56" s="49"/>
      <c r="AEW56" s="49"/>
      <c r="AEX56" s="49"/>
      <c r="AEY56" s="49"/>
      <c r="AEZ56" s="49"/>
      <c r="AFA56" s="49"/>
      <c r="AFB56" s="49"/>
      <c r="AFC56" s="49"/>
      <c r="AFD56" s="49"/>
      <c r="AFE56" s="49"/>
      <c r="AFF56" s="49"/>
      <c r="AFG56" s="49"/>
      <c r="AFH56" s="49"/>
      <c r="AFI56" s="49"/>
      <c r="AFJ56" s="49"/>
      <c r="AFK56" s="49"/>
      <c r="AFL56" s="49"/>
      <c r="AFM56" s="49"/>
      <c r="AFN56" s="49"/>
      <c r="AFO56" s="49"/>
      <c r="AFP56" s="49"/>
      <c r="AFQ56" s="49"/>
      <c r="AFR56" s="49"/>
      <c r="AFS56" s="49"/>
      <c r="AFT56" s="49"/>
      <c r="AFU56" s="49"/>
      <c r="AFV56" s="49"/>
      <c r="AFW56" s="49"/>
      <c r="AFX56" s="49"/>
      <c r="AFY56" s="49"/>
      <c r="AFZ56" s="49"/>
      <c r="AGA56" s="49"/>
      <c r="AGB56" s="49"/>
      <c r="AGC56" s="49"/>
      <c r="AGD56" s="49"/>
      <c r="AGE56" s="49"/>
      <c r="AGF56" s="49"/>
      <c r="AGG56" s="49"/>
      <c r="AGH56" s="49"/>
      <c r="AGI56" s="49"/>
      <c r="AGJ56" s="49"/>
      <c r="AGK56" s="49"/>
      <c r="AGL56" s="49"/>
      <c r="AGM56" s="49"/>
      <c r="AGN56" s="49"/>
      <c r="AGO56" s="49"/>
      <c r="AGP56" s="49"/>
      <c r="AGQ56" s="49"/>
      <c r="AGR56" s="49"/>
      <c r="AGS56" s="49"/>
      <c r="AGT56" s="49"/>
      <c r="AGU56" s="49"/>
      <c r="AGV56" s="49"/>
      <c r="AGW56" s="49"/>
      <c r="AGX56" s="49"/>
      <c r="AGY56" s="49"/>
      <c r="AGZ56" s="49"/>
      <c r="AHA56" s="49"/>
      <c r="AHB56" s="49"/>
      <c r="AHC56" s="49"/>
      <c r="AHD56" s="49"/>
      <c r="AHE56" s="49"/>
      <c r="AHF56" s="49"/>
      <c r="AHG56" s="49"/>
      <c r="AHH56" s="49"/>
      <c r="AHI56" s="49"/>
      <c r="AHJ56" s="49"/>
      <c r="AHK56" s="49"/>
      <c r="AHL56" s="49"/>
      <c r="AHM56" s="49"/>
      <c r="AHN56" s="49"/>
      <c r="AHO56" s="49"/>
      <c r="AHP56" s="49"/>
      <c r="AHQ56" s="49"/>
      <c r="AHR56" s="49"/>
      <c r="AHS56" s="49"/>
      <c r="AHT56" s="49"/>
      <c r="AHU56" s="49"/>
      <c r="AHV56" s="49"/>
      <c r="AHW56" s="49"/>
      <c r="AHX56" s="49"/>
      <c r="AHY56" s="49"/>
      <c r="AHZ56" s="49"/>
      <c r="AIA56" s="49"/>
      <c r="AIB56" s="49"/>
      <c r="AIC56" s="49"/>
      <c r="AID56" s="49"/>
      <c r="AIE56" s="49"/>
      <c r="AIF56" s="49"/>
      <c r="AIG56" s="49"/>
      <c r="AIH56" s="49"/>
      <c r="AII56" s="49"/>
      <c r="AIJ56" s="49"/>
      <c r="AIK56" s="49"/>
      <c r="AIL56" s="49"/>
      <c r="AIM56" s="49"/>
      <c r="AIN56" s="49"/>
      <c r="AIO56" s="49"/>
      <c r="AIP56" s="49"/>
      <c r="AIQ56" s="49"/>
      <c r="AIR56" s="49"/>
      <c r="AIS56" s="49"/>
      <c r="AIT56" s="49"/>
      <c r="AIU56" s="49"/>
      <c r="AIV56" s="49"/>
      <c r="AIW56" s="49"/>
      <c r="AIX56" s="49"/>
      <c r="AIY56" s="49"/>
      <c r="AIZ56" s="49"/>
      <c r="AJA56" s="49"/>
      <c r="AJB56" s="49"/>
      <c r="AJC56" s="49"/>
      <c r="AJD56" s="49"/>
      <c r="AJE56" s="49"/>
      <c r="AJF56" s="49"/>
      <c r="AJG56" s="49"/>
      <c r="AJH56" s="49"/>
      <c r="AJI56" s="49"/>
      <c r="AJJ56" s="49"/>
      <c r="AJK56" s="49"/>
      <c r="AJL56" s="49"/>
      <c r="AJM56" s="49"/>
      <c r="AJN56" s="49"/>
      <c r="AJO56" s="49"/>
      <c r="AJP56" s="49"/>
      <c r="AJQ56" s="49"/>
      <c r="AJR56" s="49"/>
      <c r="AJS56" s="49"/>
      <c r="AJT56" s="49"/>
      <c r="AJU56" s="49"/>
      <c r="AJV56" s="49"/>
      <c r="AJW56" s="49"/>
      <c r="AJX56" s="49"/>
      <c r="AJY56" s="49"/>
      <c r="AJZ56" s="49"/>
      <c r="AKA56" s="49"/>
      <c r="AKB56" s="49"/>
      <c r="AKC56" s="49"/>
      <c r="AKD56" s="49"/>
      <c r="AKE56" s="49"/>
      <c r="AKF56" s="49"/>
      <c r="AKG56" s="49"/>
      <c r="AKH56" s="49"/>
      <c r="AKI56" s="49"/>
      <c r="AKJ56" s="49"/>
      <c r="AKK56" s="49"/>
      <c r="AKL56" s="49"/>
      <c r="AKM56" s="49"/>
      <c r="AKN56" s="49"/>
      <c r="AKO56" s="49"/>
      <c r="AKP56" s="49"/>
      <c r="AKQ56" s="49"/>
      <c r="AKR56" s="49"/>
      <c r="AKS56" s="49"/>
      <c r="AKT56" s="49"/>
      <c r="AKU56" s="49"/>
      <c r="AKV56" s="49"/>
      <c r="AKW56" s="49"/>
      <c r="AKX56" s="49"/>
      <c r="AKY56" s="49"/>
      <c r="AKZ56" s="49"/>
      <c r="ALA56" s="49"/>
      <c r="ALB56" s="49"/>
      <c r="ALC56" s="49"/>
      <c r="ALD56" s="49"/>
      <c r="ALE56" s="49"/>
      <c r="ALF56" s="49"/>
      <c r="ALG56" s="49"/>
      <c r="ALH56" s="49"/>
      <c r="ALI56" s="49"/>
      <c r="ALJ56" s="49"/>
      <c r="ALK56" s="49"/>
      <c r="ALL56" s="49"/>
      <c r="ALM56" s="49"/>
      <c r="ALN56" s="49"/>
      <c r="ALO56" s="49"/>
      <c r="ALP56" s="49"/>
      <c r="ALQ56" s="49"/>
      <c r="ALR56" s="49"/>
      <c r="ALS56" s="49"/>
      <c r="ALT56" s="49"/>
      <c r="ALU56" s="49"/>
      <c r="ALV56" s="49"/>
      <c r="ALW56" s="49"/>
      <c r="ALX56" s="49"/>
      <c r="ALY56" s="49"/>
      <c r="ALZ56" s="49"/>
      <c r="AMA56" s="49"/>
      <c r="AMB56" s="49"/>
      <c r="AMC56" s="49"/>
      <c r="AMD56" s="49"/>
      <c r="AME56" s="49"/>
      <c r="AMF56" s="49"/>
      <c r="AMG56" s="49"/>
      <c r="AMH56" s="49"/>
      <c r="AMI56" s="49"/>
      <c r="AMJ56" s="49"/>
      <c r="AMK56" s="49"/>
    </row>
    <row r="57" spans="1:1025" ht="15" customHeight="1">
      <c r="A57" s="28" t="s">
        <v>15</v>
      </c>
      <c r="B57" s="117"/>
      <c r="C57" s="55"/>
      <c r="D57" s="62" t="s">
        <v>136</v>
      </c>
      <c r="E57" s="56">
        <v>1</v>
      </c>
      <c r="F57" s="91" t="b">
        <v>0</v>
      </c>
      <c r="G57" s="57">
        <v>0.9</v>
      </c>
      <c r="H57" s="57">
        <v>1.9</v>
      </c>
      <c r="I57" s="56" t="s">
        <v>63</v>
      </c>
      <c r="J57" s="56" t="s">
        <v>78</v>
      </c>
      <c r="K57" s="57">
        <v>0.9</v>
      </c>
      <c r="L57" s="57">
        <v>1.9</v>
      </c>
      <c r="M57" s="58">
        <f t="shared" si="9"/>
        <v>1.71</v>
      </c>
      <c r="N57" s="34"/>
      <c r="O57" s="74"/>
      <c r="P57" s="57"/>
      <c r="Q57" s="16"/>
      <c r="R57" s="46"/>
      <c r="S57" s="46"/>
      <c r="T57" s="46"/>
      <c r="U57" s="46"/>
      <c r="V57" s="46"/>
      <c r="W57" s="46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  <c r="KV57" s="49"/>
      <c r="KW57" s="49"/>
      <c r="KX57" s="49"/>
      <c r="KY57" s="49"/>
      <c r="KZ57" s="49"/>
      <c r="LA57" s="49"/>
      <c r="LB57" s="49"/>
      <c r="LC57" s="49"/>
      <c r="LD57" s="49"/>
      <c r="LE57" s="49"/>
      <c r="LF57" s="49"/>
      <c r="LG57" s="49"/>
      <c r="LH57" s="49"/>
      <c r="LI57" s="49"/>
      <c r="LJ57" s="49"/>
      <c r="LK57" s="49"/>
      <c r="LL57" s="49"/>
      <c r="LM57" s="49"/>
      <c r="LN57" s="49"/>
      <c r="LO57" s="49"/>
      <c r="LP57" s="49"/>
      <c r="LQ57" s="49"/>
      <c r="LR57" s="49"/>
      <c r="LS57" s="49"/>
      <c r="LT57" s="49"/>
      <c r="LU57" s="49"/>
      <c r="LV57" s="49"/>
      <c r="LW57" s="49"/>
      <c r="LX57" s="49"/>
      <c r="LY57" s="49"/>
      <c r="LZ57" s="49"/>
      <c r="MA57" s="49"/>
      <c r="MB57" s="49"/>
      <c r="MC57" s="49"/>
      <c r="MD57" s="49"/>
      <c r="ME57" s="49"/>
      <c r="MF57" s="49"/>
      <c r="MG57" s="49"/>
      <c r="MH57" s="49"/>
      <c r="MI57" s="49"/>
      <c r="MJ57" s="49"/>
      <c r="MK57" s="49"/>
      <c r="ML57" s="49"/>
      <c r="MM57" s="49"/>
      <c r="MN57" s="49"/>
      <c r="MO57" s="49"/>
      <c r="MP57" s="49"/>
      <c r="MQ57" s="49"/>
      <c r="MR57" s="49"/>
      <c r="MS57" s="49"/>
      <c r="MT57" s="49"/>
      <c r="MU57" s="49"/>
      <c r="MV57" s="49"/>
      <c r="MW57" s="49"/>
      <c r="MX57" s="49"/>
      <c r="MY57" s="49"/>
      <c r="MZ57" s="49"/>
      <c r="NA57" s="49"/>
      <c r="NB57" s="49"/>
      <c r="NC57" s="49"/>
      <c r="ND57" s="49"/>
      <c r="NE57" s="49"/>
      <c r="NF57" s="49"/>
      <c r="NG57" s="49"/>
      <c r="NH57" s="49"/>
      <c r="NI57" s="49"/>
      <c r="NJ57" s="49"/>
      <c r="NK57" s="49"/>
      <c r="NL57" s="49"/>
      <c r="NM57" s="49"/>
      <c r="NN57" s="49"/>
      <c r="NO57" s="49"/>
      <c r="NP57" s="49"/>
      <c r="NQ57" s="49"/>
      <c r="NR57" s="49"/>
      <c r="NS57" s="49"/>
      <c r="NT57" s="49"/>
      <c r="NU57" s="49"/>
      <c r="NV57" s="49"/>
      <c r="NW57" s="49"/>
      <c r="NX57" s="49"/>
      <c r="NY57" s="49"/>
      <c r="NZ57" s="49"/>
      <c r="OA57" s="49"/>
      <c r="OB57" s="49"/>
      <c r="OC57" s="49"/>
      <c r="OD57" s="49"/>
      <c r="OE57" s="49"/>
      <c r="OF57" s="49"/>
      <c r="OG57" s="49"/>
      <c r="OH57" s="49"/>
      <c r="OI57" s="49"/>
      <c r="OJ57" s="49"/>
      <c r="OK57" s="49"/>
      <c r="OL57" s="49"/>
      <c r="OM57" s="49"/>
      <c r="ON57" s="49"/>
      <c r="OO57" s="49"/>
      <c r="OP57" s="49"/>
      <c r="OQ57" s="49"/>
      <c r="OR57" s="49"/>
      <c r="OS57" s="49"/>
      <c r="OT57" s="49"/>
      <c r="OU57" s="49"/>
      <c r="OV57" s="49"/>
      <c r="OW57" s="49"/>
      <c r="OX57" s="49"/>
      <c r="OY57" s="49"/>
      <c r="OZ57" s="49"/>
      <c r="PA57" s="49"/>
      <c r="PB57" s="49"/>
      <c r="PC57" s="49"/>
      <c r="PD57" s="49"/>
      <c r="PE57" s="49"/>
      <c r="PF57" s="49"/>
      <c r="PG57" s="49"/>
      <c r="PH57" s="49"/>
      <c r="PI57" s="49"/>
      <c r="PJ57" s="49"/>
      <c r="PK57" s="49"/>
      <c r="PL57" s="49"/>
      <c r="PM57" s="49"/>
      <c r="PN57" s="49"/>
      <c r="PO57" s="49"/>
      <c r="PP57" s="49"/>
      <c r="PQ57" s="49"/>
      <c r="PR57" s="49"/>
      <c r="PS57" s="49"/>
      <c r="PT57" s="49"/>
      <c r="PU57" s="49"/>
      <c r="PV57" s="49"/>
      <c r="PW57" s="49"/>
      <c r="PX57" s="49"/>
      <c r="PY57" s="49"/>
      <c r="PZ57" s="49"/>
      <c r="QA57" s="49"/>
      <c r="QB57" s="49"/>
      <c r="QC57" s="49"/>
      <c r="QD57" s="49"/>
      <c r="QE57" s="49"/>
      <c r="QF57" s="49"/>
      <c r="QG57" s="49"/>
      <c r="QH57" s="49"/>
      <c r="QI57" s="49"/>
      <c r="QJ57" s="49"/>
      <c r="QK57" s="49"/>
      <c r="QL57" s="49"/>
      <c r="QM57" s="49"/>
      <c r="QN57" s="49"/>
      <c r="QO57" s="49"/>
      <c r="QP57" s="49"/>
      <c r="QQ57" s="49"/>
      <c r="QR57" s="49"/>
      <c r="QS57" s="49"/>
      <c r="QT57" s="49"/>
      <c r="QU57" s="49"/>
      <c r="QV57" s="49"/>
      <c r="QW57" s="49"/>
      <c r="QX57" s="49"/>
      <c r="QY57" s="49"/>
      <c r="QZ57" s="49"/>
      <c r="RA57" s="49"/>
      <c r="RB57" s="49"/>
      <c r="RC57" s="49"/>
      <c r="RD57" s="49"/>
      <c r="RE57" s="49"/>
      <c r="RF57" s="49"/>
      <c r="RG57" s="49"/>
      <c r="RH57" s="49"/>
      <c r="RI57" s="49"/>
      <c r="RJ57" s="49"/>
      <c r="RK57" s="49"/>
      <c r="RL57" s="49"/>
      <c r="RM57" s="49"/>
      <c r="RN57" s="49"/>
      <c r="RO57" s="49"/>
      <c r="RP57" s="49"/>
      <c r="RQ57" s="49"/>
      <c r="RR57" s="49"/>
      <c r="RS57" s="49"/>
      <c r="RT57" s="49"/>
      <c r="RU57" s="49"/>
      <c r="RV57" s="49"/>
      <c r="RW57" s="49"/>
      <c r="RX57" s="49"/>
      <c r="RY57" s="49"/>
      <c r="RZ57" s="49"/>
      <c r="SA57" s="49"/>
      <c r="SB57" s="49"/>
      <c r="SC57" s="49"/>
      <c r="SD57" s="49"/>
      <c r="SE57" s="49"/>
      <c r="SF57" s="49"/>
      <c r="SG57" s="49"/>
      <c r="SH57" s="49"/>
      <c r="SI57" s="49"/>
      <c r="SJ57" s="49"/>
      <c r="SK57" s="49"/>
      <c r="SL57" s="49"/>
      <c r="SM57" s="49"/>
      <c r="SN57" s="49"/>
      <c r="SO57" s="49"/>
      <c r="SP57" s="49"/>
      <c r="SQ57" s="49"/>
      <c r="SR57" s="49"/>
      <c r="SS57" s="49"/>
      <c r="ST57" s="49"/>
      <c r="SU57" s="49"/>
      <c r="SV57" s="49"/>
      <c r="SW57" s="49"/>
      <c r="SX57" s="49"/>
      <c r="SY57" s="49"/>
      <c r="SZ57" s="49"/>
      <c r="TA57" s="49"/>
      <c r="TB57" s="49"/>
      <c r="TC57" s="49"/>
      <c r="TD57" s="49"/>
      <c r="TE57" s="49"/>
      <c r="TF57" s="49"/>
      <c r="TG57" s="49"/>
      <c r="TH57" s="49"/>
      <c r="TI57" s="49"/>
      <c r="TJ57" s="49"/>
      <c r="TK57" s="49"/>
      <c r="TL57" s="49"/>
      <c r="TM57" s="49"/>
      <c r="TN57" s="49"/>
      <c r="TO57" s="49"/>
      <c r="TP57" s="49"/>
      <c r="TQ57" s="49"/>
      <c r="TR57" s="49"/>
      <c r="TS57" s="49"/>
      <c r="TT57" s="49"/>
      <c r="TU57" s="49"/>
      <c r="TV57" s="49"/>
      <c r="TW57" s="49"/>
      <c r="TX57" s="49"/>
      <c r="TY57" s="49"/>
      <c r="TZ57" s="49"/>
      <c r="UA57" s="49"/>
      <c r="UB57" s="49"/>
      <c r="UC57" s="49"/>
      <c r="UD57" s="49"/>
      <c r="UE57" s="49"/>
      <c r="UF57" s="49"/>
      <c r="UG57" s="49"/>
      <c r="UH57" s="49"/>
      <c r="UI57" s="49"/>
      <c r="UJ57" s="49"/>
      <c r="UK57" s="49"/>
      <c r="UL57" s="49"/>
      <c r="UM57" s="49"/>
      <c r="UN57" s="49"/>
      <c r="UO57" s="49"/>
      <c r="UP57" s="49"/>
      <c r="UQ57" s="49"/>
      <c r="UR57" s="49"/>
      <c r="US57" s="49"/>
      <c r="UT57" s="49"/>
      <c r="UU57" s="49"/>
      <c r="UV57" s="49"/>
      <c r="UW57" s="49"/>
      <c r="UX57" s="49"/>
      <c r="UY57" s="49"/>
      <c r="UZ57" s="49"/>
      <c r="VA57" s="49"/>
      <c r="VB57" s="49"/>
      <c r="VC57" s="49"/>
      <c r="VD57" s="49"/>
      <c r="VE57" s="49"/>
      <c r="VF57" s="49"/>
      <c r="VG57" s="49"/>
      <c r="VH57" s="49"/>
      <c r="VI57" s="49"/>
      <c r="VJ57" s="49"/>
      <c r="VK57" s="49"/>
      <c r="VL57" s="49"/>
      <c r="VM57" s="49"/>
      <c r="VN57" s="49"/>
      <c r="VO57" s="49"/>
      <c r="VP57" s="49"/>
      <c r="VQ57" s="49"/>
      <c r="VR57" s="49"/>
      <c r="VS57" s="49"/>
      <c r="VT57" s="49"/>
      <c r="VU57" s="49"/>
      <c r="VV57" s="49"/>
      <c r="VW57" s="49"/>
      <c r="VX57" s="49"/>
      <c r="VY57" s="49"/>
      <c r="VZ57" s="49"/>
      <c r="WA57" s="49"/>
      <c r="WB57" s="49"/>
      <c r="WC57" s="49"/>
      <c r="WD57" s="49"/>
      <c r="WE57" s="49"/>
      <c r="WF57" s="49"/>
      <c r="WG57" s="49"/>
      <c r="WH57" s="49"/>
      <c r="WI57" s="49"/>
      <c r="WJ57" s="49"/>
      <c r="WK57" s="49"/>
      <c r="WL57" s="49"/>
      <c r="WM57" s="49"/>
      <c r="WN57" s="49"/>
      <c r="WO57" s="49"/>
      <c r="WP57" s="49"/>
      <c r="WQ57" s="49"/>
      <c r="WR57" s="49"/>
      <c r="WS57" s="49"/>
      <c r="WT57" s="49"/>
      <c r="WU57" s="49"/>
      <c r="WV57" s="49"/>
      <c r="WW57" s="49"/>
      <c r="WX57" s="49"/>
      <c r="WY57" s="49"/>
      <c r="WZ57" s="49"/>
      <c r="XA57" s="49"/>
      <c r="XB57" s="49"/>
      <c r="XC57" s="49"/>
      <c r="XD57" s="49"/>
      <c r="XE57" s="49"/>
      <c r="XF57" s="49"/>
      <c r="XG57" s="49"/>
      <c r="XH57" s="49"/>
      <c r="XI57" s="49"/>
      <c r="XJ57" s="49"/>
      <c r="XK57" s="49"/>
      <c r="XL57" s="49"/>
      <c r="XM57" s="49"/>
      <c r="XN57" s="49"/>
      <c r="XO57" s="49"/>
      <c r="XP57" s="49"/>
      <c r="XQ57" s="49"/>
      <c r="XR57" s="49"/>
      <c r="XS57" s="49"/>
      <c r="XT57" s="49"/>
      <c r="XU57" s="49"/>
      <c r="XV57" s="49"/>
      <c r="XW57" s="49"/>
      <c r="XX57" s="49"/>
      <c r="XY57" s="49"/>
      <c r="XZ57" s="49"/>
      <c r="YA57" s="49"/>
      <c r="YB57" s="49"/>
      <c r="YC57" s="49"/>
      <c r="YD57" s="49"/>
      <c r="YE57" s="49"/>
      <c r="YF57" s="49"/>
      <c r="YG57" s="49"/>
      <c r="YH57" s="49"/>
      <c r="YI57" s="49"/>
      <c r="YJ57" s="49"/>
      <c r="YK57" s="49"/>
      <c r="YL57" s="49"/>
      <c r="YM57" s="49"/>
      <c r="YN57" s="49"/>
      <c r="YO57" s="49"/>
      <c r="YP57" s="49"/>
      <c r="YQ57" s="49"/>
      <c r="YR57" s="49"/>
      <c r="YS57" s="49"/>
      <c r="YT57" s="49"/>
      <c r="YU57" s="49"/>
      <c r="YV57" s="49"/>
      <c r="YW57" s="49"/>
      <c r="YX57" s="49"/>
      <c r="YY57" s="49"/>
      <c r="YZ57" s="49"/>
      <c r="ZA57" s="49"/>
      <c r="ZB57" s="49"/>
      <c r="ZC57" s="49"/>
      <c r="ZD57" s="49"/>
      <c r="ZE57" s="49"/>
      <c r="ZF57" s="49"/>
      <c r="ZG57" s="49"/>
      <c r="ZH57" s="49"/>
      <c r="ZI57" s="49"/>
      <c r="ZJ57" s="49"/>
      <c r="ZK57" s="49"/>
      <c r="ZL57" s="49"/>
      <c r="ZM57" s="49"/>
      <c r="ZN57" s="49"/>
      <c r="ZO57" s="49"/>
      <c r="ZP57" s="49"/>
      <c r="ZQ57" s="49"/>
      <c r="ZR57" s="49"/>
      <c r="ZS57" s="49"/>
      <c r="ZT57" s="49"/>
      <c r="ZU57" s="49"/>
      <c r="ZV57" s="49"/>
      <c r="ZW57" s="49"/>
      <c r="ZX57" s="49"/>
      <c r="ZY57" s="49"/>
      <c r="ZZ57" s="49"/>
      <c r="AAA57" s="49"/>
      <c r="AAB57" s="49"/>
      <c r="AAC57" s="49"/>
      <c r="AAD57" s="49"/>
      <c r="AAE57" s="49"/>
      <c r="AAF57" s="49"/>
      <c r="AAG57" s="49"/>
      <c r="AAH57" s="49"/>
      <c r="AAI57" s="49"/>
      <c r="AAJ57" s="49"/>
      <c r="AAK57" s="49"/>
      <c r="AAL57" s="49"/>
      <c r="AAM57" s="49"/>
      <c r="AAN57" s="49"/>
      <c r="AAO57" s="49"/>
      <c r="AAP57" s="49"/>
      <c r="AAQ57" s="49"/>
      <c r="AAR57" s="49"/>
      <c r="AAS57" s="49"/>
      <c r="AAT57" s="49"/>
      <c r="AAU57" s="49"/>
      <c r="AAV57" s="49"/>
      <c r="AAW57" s="49"/>
      <c r="AAX57" s="49"/>
      <c r="AAY57" s="49"/>
      <c r="AAZ57" s="49"/>
      <c r="ABA57" s="49"/>
      <c r="ABB57" s="49"/>
      <c r="ABC57" s="49"/>
      <c r="ABD57" s="49"/>
      <c r="ABE57" s="49"/>
      <c r="ABF57" s="49"/>
      <c r="ABG57" s="49"/>
      <c r="ABH57" s="49"/>
      <c r="ABI57" s="49"/>
      <c r="ABJ57" s="49"/>
      <c r="ABK57" s="49"/>
      <c r="ABL57" s="49"/>
      <c r="ABM57" s="49"/>
      <c r="ABN57" s="49"/>
      <c r="ABO57" s="49"/>
      <c r="ABP57" s="49"/>
      <c r="ABQ57" s="49"/>
      <c r="ABR57" s="49"/>
      <c r="ABS57" s="49"/>
      <c r="ABT57" s="49"/>
      <c r="ABU57" s="49"/>
      <c r="ABV57" s="49"/>
      <c r="ABW57" s="49"/>
      <c r="ABX57" s="49"/>
      <c r="ABY57" s="49"/>
      <c r="ABZ57" s="49"/>
      <c r="ACA57" s="49"/>
      <c r="ACB57" s="49"/>
      <c r="ACC57" s="49"/>
      <c r="ACD57" s="49"/>
      <c r="ACE57" s="49"/>
      <c r="ACF57" s="49"/>
      <c r="ACG57" s="49"/>
      <c r="ACH57" s="49"/>
      <c r="ACI57" s="49"/>
      <c r="ACJ57" s="49"/>
      <c r="ACK57" s="49"/>
      <c r="ACL57" s="49"/>
      <c r="ACM57" s="49"/>
      <c r="ACN57" s="49"/>
      <c r="ACO57" s="49"/>
      <c r="ACP57" s="49"/>
      <c r="ACQ57" s="49"/>
      <c r="ACR57" s="49"/>
      <c r="ACS57" s="49"/>
      <c r="ACT57" s="49"/>
      <c r="ACU57" s="49"/>
      <c r="ACV57" s="49"/>
      <c r="ACW57" s="49"/>
      <c r="ACX57" s="49"/>
      <c r="ACY57" s="49"/>
      <c r="ACZ57" s="49"/>
      <c r="ADA57" s="49"/>
      <c r="ADB57" s="49"/>
      <c r="ADC57" s="49"/>
      <c r="ADD57" s="49"/>
      <c r="ADE57" s="49"/>
      <c r="ADF57" s="49"/>
      <c r="ADG57" s="49"/>
      <c r="ADH57" s="49"/>
      <c r="ADI57" s="49"/>
      <c r="ADJ57" s="49"/>
      <c r="ADK57" s="49"/>
      <c r="ADL57" s="49"/>
      <c r="ADM57" s="49"/>
      <c r="ADN57" s="49"/>
      <c r="ADO57" s="49"/>
      <c r="ADP57" s="49"/>
      <c r="ADQ57" s="49"/>
      <c r="ADR57" s="49"/>
      <c r="ADS57" s="49"/>
      <c r="ADT57" s="49"/>
      <c r="ADU57" s="49"/>
      <c r="ADV57" s="49"/>
      <c r="ADW57" s="49"/>
      <c r="ADX57" s="49"/>
      <c r="ADY57" s="49"/>
      <c r="ADZ57" s="49"/>
      <c r="AEA57" s="49"/>
      <c r="AEB57" s="49"/>
      <c r="AEC57" s="49"/>
      <c r="AED57" s="49"/>
      <c r="AEE57" s="49"/>
      <c r="AEF57" s="49"/>
      <c r="AEG57" s="49"/>
      <c r="AEH57" s="49"/>
      <c r="AEI57" s="49"/>
      <c r="AEJ57" s="49"/>
      <c r="AEK57" s="49"/>
      <c r="AEL57" s="49"/>
      <c r="AEM57" s="49"/>
      <c r="AEN57" s="49"/>
      <c r="AEO57" s="49"/>
      <c r="AEP57" s="49"/>
      <c r="AEQ57" s="49"/>
      <c r="AER57" s="49"/>
      <c r="AES57" s="49"/>
      <c r="AET57" s="49"/>
      <c r="AEU57" s="49"/>
      <c r="AEV57" s="49"/>
      <c r="AEW57" s="49"/>
      <c r="AEX57" s="49"/>
      <c r="AEY57" s="49"/>
      <c r="AEZ57" s="49"/>
      <c r="AFA57" s="49"/>
      <c r="AFB57" s="49"/>
      <c r="AFC57" s="49"/>
      <c r="AFD57" s="49"/>
      <c r="AFE57" s="49"/>
      <c r="AFF57" s="49"/>
      <c r="AFG57" s="49"/>
      <c r="AFH57" s="49"/>
      <c r="AFI57" s="49"/>
      <c r="AFJ57" s="49"/>
      <c r="AFK57" s="49"/>
      <c r="AFL57" s="49"/>
      <c r="AFM57" s="49"/>
      <c r="AFN57" s="49"/>
      <c r="AFO57" s="49"/>
      <c r="AFP57" s="49"/>
      <c r="AFQ57" s="49"/>
      <c r="AFR57" s="49"/>
      <c r="AFS57" s="49"/>
      <c r="AFT57" s="49"/>
      <c r="AFU57" s="49"/>
      <c r="AFV57" s="49"/>
      <c r="AFW57" s="49"/>
      <c r="AFX57" s="49"/>
      <c r="AFY57" s="49"/>
      <c r="AFZ57" s="49"/>
      <c r="AGA57" s="49"/>
      <c r="AGB57" s="49"/>
      <c r="AGC57" s="49"/>
      <c r="AGD57" s="49"/>
      <c r="AGE57" s="49"/>
      <c r="AGF57" s="49"/>
      <c r="AGG57" s="49"/>
      <c r="AGH57" s="49"/>
      <c r="AGI57" s="49"/>
      <c r="AGJ57" s="49"/>
      <c r="AGK57" s="49"/>
      <c r="AGL57" s="49"/>
      <c r="AGM57" s="49"/>
      <c r="AGN57" s="49"/>
      <c r="AGO57" s="49"/>
      <c r="AGP57" s="49"/>
      <c r="AGQ57" s="49"/>
      <c r="AGR57" s="49"/>
      <c r="AGS57" s="49"/>
      <c r="AGT57" s="49"/>
      <c r="AGU57" s="49"/>
      <c r="AGV57" s="49"/>
      <c r="AGW57" s="49"/>
      <c r="AGX57" s="49"/>
      <c r="AGY57" s="49"/>
      <c r="AGZ57" s="49"/>
      <c r="AHA57" s="49"/>
      <c r="AHB57" s="49"/>
      <c r="AHC57" s="49"/>
      <c r="AHD57" s="49"/>
      <c r="AHE57" s="49"/>
      <c r="AHF57" s="49"/>
      <c r="AHG57" s="49"/>
      <c r="AHH57" s="49"/>
      <c r="AHI57" s="49"/>
      <c r="AHJ57" s="49"/>
      <c r="AHK57" s="49"/>
      <c r="AHL57" s="49"/>
      <c r="AHM57" s="49"/>
      <c r="AHN57" s="49"/>
      <c r="AHO57" s="49"/>
      <c r="AHP57" s="49"/>
      <c r="AHQ57" s="49"/>
      <c r="AHR57" s="49"/>
      <c r="AHS57" s="49"/>
      <c r="AHT57" s="49"/>
      <c r="AHU57" s="49"/>
      <c r="AHV57" s="49"/>
      <c r="AHW57" s="49"/>
      <c r="AHX57" s="49"/>
      <c r="AHY57" s="49"/>
      <c r="AHZ57" s="49"/>
      <c r="AIA57" s="49"/>
      <c r="AIB57" s="49"/>
      <c r="AIC57" s="49"/>
      <c r="AID57" s="49"/>
      <c r="AIE57" s="49"/>
      <c r="AIF57" s="49"/>
      <c r="AIG57" s="49"/>
      <c r="AIH57" s="49"/>
      <c r="AII57" s="49"/>
      <c r="AIJ57" s="49"/>
      <c r="AIK57" s="49"/>
      <c r="AIL57" s="49"/>
      <c r="AIM57" s="49"/>
      <c r="AIN57" s="49"/>
      <c r="AIO57" s="49"/>
      <c r="AIP57" s="49"/>
      <c r="AIQ57" s="49"/>
      <c r="AIR57" s="49"/>
      <c r="AIS57" s="49"/>
      <c r="AIT57" s="49"/>
      <c r="AIU57" s="49"/>
      <c r="AIV57" s="49"/>
      <c r="AIW57" s="49"/>
      <c r="AIX57" s="49"/>
      <c r="AIY57" s="49"/>
      <c r="AIZ57" s="49"/>
      <c r="AJA57" s="49"/>
      <c r="AJB57" s="49"/>
      <c r="AJC57" s="49"/>
      <c r="AJD57" s="49"/>
      <c r="AJE57" s="49"/>
      <c r="AJF57" s="49"/>
      <c r="AJG57" s="49"/>
      <c r="AJH57" s="49"/>
      <c r="AJI57" s="49"/>
      <c r="AJJ57" s="49"/>
      <c r="AJK57" s="49"/>
      <c r="AJL57" s="49"/>
      <c r="AJM57" s="49"/>
      <c r="AJN57" s="49"/>
      <c r="AJO57" s="49"/>
      <c r="AJP57" s="49"/>
      <c r="AJQ57" s="49"/>
      <c r="AJR57" s="49"/>
      <c r="AJS57" s="49"/>
      <c r="AJT57" s="49"/>
      <c r="AJU57" s="49"/>
      <c r="AJV57" s="49"/>
      <c r="AJW57" s="49"/>
      <c r="AJX57" s="49"/>
      <c r="AJY57" s="49"/>
      <c r="AJZ57" s="49"/>
      <c r="AKA57" s="49"/>
      <c r="AKB57" s="49"/>
      <c r="AKC57" s="49"/>
      <c r="AKD57" s="49"/>
      <c r="AKE57" s="49"/>
      <c r="AKF57" s="49"/>
      <c r="AKG57" s="49"/>
      <c r="AKH57" s="49"/>
      <c r="AKI57" s="49"/>
      <c r="AKJ57" s="49"/>
      <c r="AKK57" s="49"/>
      <c r="AKL57" s="49"/>
      <c r="AKM57" s="49"/>
      <c r="AKN57" s="49"/>
      <c r="AKO57" s="49"/>
      <c r="AKP57" s="49"/>
      <c r="AKQ57" s="49"/>
      <c r="AKR57" s="49"/>
      <c r="AKS57" s="49"/>
      <c r="AKT57" s="49"/>
      <c r="AKU57" s="49"/>
      <c r="AKV57" s="49"/>
      <c r="AKW57" s="49"/>
      <c r="AKX57" s="49"/>
      <c r="AKY57" s="49"/>
      <c r="AKZ57" s="49"/>
      <c r="ALA57" s="49"/>
      <c r="ALB57" s="49"/>
      <c r="ALC57" s="49"/>
      <c r="ALD57" s="49"/>
      <c r="ALE57" s="49"/>
      <c r="ALF57" s="49"/>
      <c r="ALG57" s="49"/>
      <c r="ALH57" s="49"/>
      <c r="ALI57" s="49"/>
      <c r="ALJ57" s="49"/>
      <c r="ALK57" s="49"/>
      <c r="ALL57" s="49"/>
      <c r="ALM57" s="49"/>
      <c r="ALN57" s="49"/>
      <c r="ALO57" s="49"/>
      <c r="ALP57" s="49"/>
      <c r="ALQ57" s="49"/>
      <c r="ALR57" s="49"/>
      <c r="ALS57" s="49"/>
      <c r="ALT57" s="49"/>
      <c r="ALU57" s="49"/>
      <c r="ALV57" s="49"/>
      <c r="ALW57" s="49"/>
      <c r="ALX57" s="49"/>
      <c r="ALY57" s="49"/>
      <c r="ALZ57" s="49"/>
      <c r="AMA57" s="49"/>
      <c r="AMB57" s="49"/>
      <c r="AMC57" s="49"/>
      <c r="AMD57" s="49"/>
      <c r="AME57" s="49"/>
      <c r="AMF57" s="49"/>
      <c r="AMG57" s="49"/>
      <c r="AMH57" s="49"/>
      <c r="AMI57" s="49"/>
      <c r="AMJ57" s="49"/>
      <c r="AMK57" s="49"/>
    </row>
    <row r="58" spans="1:1025" ht="15" customHeight="1">
      <c r="A58" s="28" t="s">
        <v>15</v>
      </c>
      <c r="B58" s="117"/>
      <c r="C58" s="55"/>
      <c r="D58" s="62" t="s">
        <v>137</v>
      </c>
      <c r="E58" s="56">
        <v>1</v>
      </c>
      <c r="F58" s="91" t="b">
        <v>0</v>
      </c>
      <c r="G58" s="57">
        <v>0.9</v>
      </c>
      <c r="H58" s="57">
        <v>1.9</v>
      </c>
      <c r="I58" s="56" t="s">
        <v>63</v>
      </c>
      <c r="J58" s="56" t="s">
        <v>78</v>
      </c>
      <c r="K58" s="57">
        <v>0.9</v>
      </c>
      <c r="L58" s="57">
        <v>1.9</v>
      </c>
      <c r="M58" s="58">
        <f t="shared" si="9"/>
        <v>1.71</v>
      </c>
      <c r="N58" s="34"/>
      <c r="O58" s="74"/>
      <c r="P58" s="57"/>
      <c r="Q58" s="16"/>
      <c r="R58" s="46"/>
      <c r="S58" s="46"/>
      <c r="T58" s="46"/>
      <c r="U58" s="46"/>
      <c r="V58" s="46"/>
      <c r="W58" s="46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  <c r="KV58" s="49"/>
      <c r="KW58" s="49"/>
      <c r="KX58" s="49"/>
      <c r="KY58" s="49"/>
      <c r="KZ58" s="49"/>
      <c r="LA58" s="49"/>
      <c r="LB58" s="49"/>
      <c r="LC58" s="49"/>
      <c r="LD58" s="49"/>
      <c r="LE58" s="49"/>
      <c r="LF58" s="49"/>
      <c r="LG58" s="49"/>
      <c r="LH58" s="49"/>
      <c r="LI58" s="49"/>
      <c r="LJ58" s="49"/>
      <c r="LK58" s="49"/>
      <c r="LL58" s="49"/>
      <c r="LM58" s="49"/>
      <c r="LN58" s="49"/>
      <c r="LO58" s="49"/>
      <c r="LP58" s="49"/>
      <c r="LQ58" s="49"/>
      <c r="LR58" s="49"/>
      <c r="LS58" s="49"/>
      <c r="LT58" s="49"/>
      <c r="LU58" s="49"/>
      <c r="LV58" s="49"/>
      <c r="LW58" s="49"/>
      <c r="LX58" s="49"/>
      <c r="LY58" s="49"/>
      <c r="LZ58" s="49"/>
      <c r="MA58" s="49"/>
      <c r="MB58" s="49"/>
      <c r="MC58" s="49"/>
      <c r="MD58" s="49"/>
      <c r="ME58" s="49"/>
      <c r="MF58" s="49"/>
      <c r="MG58" s="49"/>
      <c r="MH58" s="49"/>
      <c r="MI58" s="49"/>
      <c r="MJ58" s="49"/>
      <c r="MK58" s="49"/>
      <c r="ML58" s="49"/>
      <c r="MM58" s="49"/>
      <c r="MN58" s="49"/>
      <c r="MO58" s="49"/>
      <c r="MP58" s="49"/>
      <c r="MQ58" s="49"/>
      <c r="MR58" s="49"/>
      <c r="MS58" s="49"/>
      <c r="MT58" s="49"/>
      <c r="MU58" s="49"/>
      <c r="MV58" s="49"/>
      <c r="MW58" s="49"/>
      <c r="MX58" s="49"/>
      <c r="MY58" s="49"/>
      <c r="MZ58" s="49"/>
      <c r="NA58" s="49"/>
      <c r="NB58" s="49"/>
      <c r="NC58" s="49"/>
      <c r="ND58" s="49"/>
      <c r="NE58" s="49"/>
      <c r="NF58" s="49"/>
      <c r="NG58" s="49"/>
      <c r="NH58" s="49"/>
      <c r="NI58" s="49"/>
      <c r="NJ58" s="49"/>
      <c r="NK58" s="49"/>
      <c r="NL58" s="49"/>
      <c r="NM58" s="49"/>
      <c r="NN58" s="49"/>
      <c r="NO58" s="49"/>
      <c r="NP58" s="49"/>
      <c r="NQ58" s="49"/>
      <c r="NR58" s="49"/>
      <c r="NS58" s="49"/>
      <c r="NT58" s="49"/>
      <c r="NU58" s="49"/>
      <c r="NV58" s="49"/>
      <c r="NW58" s="49"/>
      <c r="NX58" s="49"/>
      <c r="NY58" s="49"/>
      <c r="NZ58" s="49"/>
      <c r="OA58" s="49"/>
      <c r="OB58" s="49"/>
      <c r="OC58" s="49"/>
      <c r="OD58" s="49"/>
      <c r="OE58" s="49"/>
      <c r="OF58" s="49"/>
      <c r="OG58" s="49"/>
      <c r="OH58" s="49"/>
      <c r="OI58" s="49"/>
      <c r="OJ58" s="49"/>
      <c r="OK58" s="49"/>
      <c r="OL58" s="49"/>
      <c r="OM58" s="49"/>
      <c r="ON58" s="49"/>
      <c r="OO58" s="49"/>
      <c r="OP58" s="49"/>
      <c r="OQ58" s="49"/>
      <c r="OR58" s="49"/>
      <c r="OS58" s="49"/>
      <c r="OT58" s="49"/>
      <c r="OU58" s="49"/>
      <c r="OV58" s="49"/>
      <c r="OW58" s="49"/>
      <c r="OX58" s="49"/>
      <c r="OY58" s="49"/>
      <c r="OZ58" s="49"/>
      <c r="PA58" s="49"/>
      <c r="PB58" s="49"/>
      <c r="PC58" s="49"/>
      <c r="PD58" s="49"/>
      <c r="PE58" s="49"/>
      <c r="PF58" s="49"/>
      <c r="PG58" s="49"/>
      <c r="PH58" s="49"/>
      <c r="PI58" s="49"/>
      <c r="PJ58" s="49"/>
      <c r="PK58" s="49"/>
      <c r="PL58" s="49"/>
      <c r="PM58" s="49"/>
      <c r="PN58" s="49"/>
      <c r="PO58" s="49"/>
      <c r="PP58" s="49"/>
      <c r="PQ58" s="49"/>
      <c r="PR58" s="49"/>
      <c r="PS58" s="49"/>
      <c r="PT58" s="49"/>
      <c r="PU58" s="49"/>
      <c r="PV58" s="49"/>
      <c r="PW58" s="49"/>
      <c r="PX58" s="49"/>
      <c r="PY58" s="49"/>
      <c r="PZ58" s="49"/>
      <c r="QA58" s="49"/>
      <c r="QB58" s="49"/>
      <c r="QC58" s="49"/>
      <c r="QD58" s="49"/>
      <c r="QE58" s="49"/>
      <c r="QF58" s="49"/>
      <c r="QG58" s="49"/>
      <c r="QH58" s="49"/>
      <c r="QI58" s="49"/>
      <c r="QJ58" s="49"/>
      <c r="QK58" s="49"/>
      <c r="QL58" s="49"/>
      <c r="QM58" s="49"/>
      <c r="QN58" s="49"/>
      <c r="QO58" s="49"/>
      <c r="QP58" s="49"/>
      <c r="QQ58" s="49"/>
      <c r="QR58" s="49"/>
      <c r="QS58" s="49"/>
      <c r="QT58" s="49"/>
      <c r="QU58" s="49"/>
      <c r="QV58" s="49"/>
      <c r="QW58" s="49"/>
      <c r="QX58" s="49"/>
      <c r="QY58" s="49"/>
      <c r="QZ58" s="49"/>
      <c r="RA58" s="49"/>
      <c r="RB58" s="49"/>
      <c r="RC58" s="49"/>
      <c r="RD58" s="49"/>
      <c r="RE58" s="49"/>
      <c r="RF58" s="49"/>
      <c r="RG58" s="49"/>
      <c r="RH58" s="49"/>
      <c r="RI58" s="49"/>
      <c r="RJ58" s="49"/>
      <c r="RK58" s="49"/>
      <c r="RL58" s="49"/>
      <c r="RM58" s="49"/>
      <c r="RN58" s="49"/>
      <c r="RO58" s="49"/>
      <c r="RP58" s="49"/>
      <c r="RQ58" s="49"/>
      <c r="RR58" s="49"/>
      <c r="RS58" s="49"/>
      <c r="RT58" s="49"/>
      <c r="RU58" s="49"/>
      <c r="RV58" s="49"/>
      <c r="RW58" s="49"/>
      <c r="RX58" s="49"/>
      <c r="RY58" s="49"/>
      <c r="RZ58" s="49"/>
      <c r="SA58" s="49"/>
      <c r="SB58" s="49"/>
      <c r="SC58" s="49"/>
      <c r="SD58" s="49"/>
      <c r="SE58" s="49"/>
      <c r="SF58" s="49"/>
      <c r="SG58" s="49"/>
      <c r="SH58" s="49"/>
      <c r="SI58" s="49"/>
      <c r="SJ58" s="49"/>
      <c r="SK58" s="49"/>
      <c r="SL58" s="49"/>
      <c r="SM58" s="49"/>
      <c r="SN58" s="49"/>
      <c r="SO58" s="49"/>
      <c r="SP58" s="49"/>
      <c r="SQ58" s="49"/>
      <c r="SR58" s="49"/>
      <c r="SS58" s="49"/>
      <c r="ST58" s="49"/>
      <c r="SU58" s="49"/>
      <c r="SV58" s="49"/>
      <c r="SW58" s="49"/>
      <c r="SX58" s="49"/>
      <c r="SY58" s="49"/>
      <c r="SZ58" s="49"/>
      <c r="TA58" s="49"/>
      <c r="TB58" s="49"/>
      <c r="TC58" s="49"/>
      <c r="TD58" s="49"/>
      <c r="TE58" s="49"/>
      <c r="TF58" s="49"/>
      <c r="TG58" s="49"/>
      <c r="TH58" s="49"/>
      <c r="TI58" s="49"/>
      <c r="TJ58" s="49"/>
      <c r="TK58" s="49"/>
      <c r="TL58" s="49"/>
      <c r="TM58" s="49"/>
      <c r="TN58" s="49"/>
      <c r="TO58" s="49"/>
      <c r="TP58" s="49"/>
      <c r="TQ58" s="49"/>
      <c r="TR58" s="49"/>
      <c r="TS58" s="49"/>
      <c r="TT58" s="49"/>
      <c r="TU58" s="49"/>
      <c r="TV58" s="49"/>
      <c r="TW58" s="49"/>
      <c r="TX58" s="49"/>
      <c r="TY58" s="49"/>
      <c r="TZ58" s="49"/>
      <c r="UA58" s="49"/>
      <c r="UB58" s="49"/>
      <c r="UC58" s="49"/>
      <c r="UD58" s="49"/>
      <c r="UE58" s="49"/>
      <c r="UF58" s="49"/>
      <c r="UG58" s="49"/>
      <c r="UH58" s="49"/>
      <c r="UI58" s="49"/>
      <c r="UJ58" s="49"/>
      <c r="UK58" s="49"/>
      <c r="UL58" s="49"/>
      <c r="UM58" s="49"/>
      <c r="UN58" s="49"/>
      <c r="UO58" s="49"/>
      <c r="UP58" s="49"/>
      <c r="UQ58" s="49"/>
      <c r="UR58" s="49"/>
      <c r="US58" s="49"/>
      <c r="UT58" s="49"/>
      <c r="UU58" s="49"/>
      <c r="UV58" s="49"/>
      <c r="UW58" s="49"/>
      <c r="UX58" s="49"/>
      <c r="UY58" s="49"/>
      <c r="UZ58" s="49"/>
      <c r="VA58" s="49"/>
      <c r="VB58" s="49"/>
      <c r="VC58" s="49"/>
      <c r="VD58" s="49"/>
      <c r="VE58" s="49"/>
      <c r="VF58" s="49"/>
      <c r="VG58" s="49"/>
      <c r="VH58" s="49"/>
      <c r="VI58" s="49"/>
      <c r="VJ58" s="49"/>
      <c r="VK58" s="49"/>
      <c r="VL58" s="49"/>
      <c r="VM58" s="49"/>
      <c r="VN58" s="49"/>
      <c r="VO58" s="49"/>
      <c r="VP58" s="49"/>
      <c r="VQ58" s="49"/>
      <c r="VR58" s="49"/>
      <c r="VS58" s="49"/>
      <c r="VT58" s="49"/>
      <c r="VU58" s="49"/>
      <c r="VV58" s="49"/>
      <c r="VW58" s="49"/>
      <c r="VX58" s="49"/>
      <c r="VY58" s="49"/>
      <c r="VZ58" s="49"/>
      <c r="WA58" s="49"/>
      <c r="WB58" s="49"/>
      <c r="WC58" s="49"/>
      <c r="WD58" s="49"/>
      <c r="WE58" s="49"/>
      <c r="WF58" s="49"/>
      <c r="WG58" s="49"/>
      <c r="WH58" s="49"/>
      <c r="WI58" s="49"/>
      <c r="WJ58" s="49"/>
      <c r="WK58" s="49"/>
      <c r="WL58" s="49"/>
      <c r="WM58" s="49"/>
      <c r="WN58" s="49"/>
      <c r="WO58" s="49"/>
      <c r="WP58" s="49"/>
      <c r="WQ58" s="49"/>
      <c r="WR58" s="49"/>
      <c r="WS58" s="49"/>
      <c r="WT58" s="49"/>
      <c r="WU58" s="49"/>
      <c r="WV58" s="49"/>
      <c r="WW58" s="49"/>
      <c r="WX58" s="49"/>
      <c r="WY58" s="49"/>
      <c r="WZ58" s="49"/>
      <c r="XA58" s="49"/>
      <c r="XB58" s="49"/>
      <c r="XC58" s="49"/>
      <c r="XD58" s="49"/>
      <c r="XE58" s="49"/>
      <c r="XF58" s="49"/>
      <c r="XG58" s="49"/>
      <c r="XH58" s="49"/>
      <c r="XI58" s="49"/>
      <c r="XJ58" s="49"/>
      <c r="XK58" s="49"/>
      <c r="XL58" s="49"/>
      <c r="XM58" s="49"/>
      <c r="XN58" s="49"/>
      <c r="XO58" s="49"/>
      <c r="XP58" s="49"/>
      <c r="XQ58" s="49"/>
      <c r="XR58" s="49"/>
      <c r="XS58" s="49"/>
      <c r="XT58" s="49"/>
      <c r="XU58" s="49"/>
      <c r="XV58" s="49"/>
      <c r="XW58" s="49"/>
      <c r="XX58" s="49"/>
      <c r="XY58" s="49"/>
      <c r="XZ58" s="49"/>
      <c r="YA58" s="49"/>
      <c r="YB58" s="49"/>
      <c r="YC58" s="49"/>
      <c r="YD58" s="49"/>
      <c r="YE58" s="49"/>
      <c r="YF58" s="49"/>
      <c r="YG58" s="49"/>
      <c r="YH58" s="49"/>
      <c r="YI58" s="49"/>
      <c r="YJ58" s="49"/>
      <c r="YK58" s="49"/>
      <c r="YL58" s="49"/>
      <c r="YM58" s="49"/>
      <c r="YN58" s="49"/>
      <c r="YO58" s="49"/>
      <c r="YP58" s="49"/>
      <c r="YQ58" s="49"/>
      <c r="YR58" s="49"/>
      <c r="YS58" s="49"/>
      <c r="YT58" s="49"/>
      <c r="YU58" s="49"/>
      <c r="YV58" s="49"/>
      <c r="YW58" s="49"/>
      <c r="YX58" s="49"/>
      <c r="YY58" s="49"/>
      <c r="YZ58" s="49"/>
      <c r="ZA58" s="49"/>
      <c r="ZB58" s="49"/>
      <c r="ZC58" s="49"/>
      <c r="ZD58" s="49"/>
      <c r="ZE58" s="49"/>
      <c r="ZF58" s="49"/>
      <c r="ZG58" s="49"/>
      <c r="ZH58" s="49"/>
      <c r="ZI58" s="49"/>
      <c r="ZJ58" s="49"/>
      <c r="ZK58" s="49"/>
      <c r="ZL58" s="49"/>
      <c r="ZM58" s="49"/>
      <c r="ZN58" s="49"/>
      <c r="ZO58" s="49"/>
      <c r="ZP58" s="49"/>
      <c r="ZQ58" s="49"/>
      <c r="ZR58" s="49"/>
      <c r="ZS58" s="49"/>
      <c r="ZT58" s="49"/>
      <c r="ZU58" s="49"/>
      <c r="ZV58" s="49"/>
      <c r="ZW58" s="49"/>
      <c r="ZX58" s="49"/>
      <c r="ZY58" s="49"/>
      <c r="ZZ58" s="49"/>
      <c r="AAA58" s="49"/>
      <c r="AAB58" s="49"/>
      <c r="AAC58" s="49"/>
      <c r="AAD58" s="49"/>
      <c r="AAE58" s="49"/>
      <c r="AAF58" s="49"/>
      <c r="AAG58" s="49"/>
      <c r="AAH58" s="49"/>
      <c r="AAI58" s="49"/>
      <c r="AAJ58" s="49"/>
      <c r="AAK58" s="49"/>
      <c r="AAL58" s="49"/>
      <c r="AAM58" s="49"/>
      <c r="AAN58" s="49"/>
      <c r="AAO58" s="49"/>
      <c r="AAP58" s="49"/>
      <c r="AAQ58" s="49"/>
      <c r="AAR58" s="49"/>
      <c r="AAS58" s="49"/>
      <c r="AAT58" s="49"/>
      <c r="AAU58" s="49"/>
      <c r="AAV58" s="49"/>
      <c r="AAW58" s="49"/>
      <c r="AAX58" s="49"/>
      <c r="AAY58" s="49"/>
      <c r="AAZ58" s="49"/>
      <c r="ABA58" s="49"/>
      <c r="ABB58" s="49"/>
      <c r="ABC58" s="49"/>
      <c r="ABD58" s="49"/>
      <c r="ABE58" s="49"/>
      <c r="ABF58" s="49"/>
      <c r="ABG58" s="49"/>
      <c r="ABH58" s="49"/>
      <c r="ABI58" s="49"/>
      <c r="ABJ58" s="49"/>
      <c r="ABK58" s="49"/>
      <c r="ABL58" s="49"/>
      <c r="ABM58" s="49"/>
      <c r="ABN58" s="49"/>
      <c r="ABO58" s="49"/>
      <c r="ABP58" s="49"/>
      <c r="ABQ58" s="49"/>
      <c r="ABR58" s="49"/>
      <c r="ABS58" s="49"/>
      <c r="ABT58" s="49"/>
      <c r="ABU58" s="49"/>
      <c r="ABV58" s="49"/>
      <c r="ABW58" s="49"/>
      <c r="ABX58" s="49"/>
      <c r="ABY58" s="49"/>
      <c r="ABZ58" s="49"/>
      <c r="ACA58" s="49"/>
      <c r="ACB58" s="49"/>
      <c r="ACC58" s="49"/>
      <c r="ACD58" s="49"/>
      <c r="ACE58" s="49"/>
      <c r="ACF58" s="49"/>
      <c r="ACG58" s="49"/>
      <c r="ACH58" s="49"/>
      <c r="ACI58" s="49"/>
      <c r="ACJ58" s="49"/>
      <c r="ACK58" s="49"/>
      <c r="ACL58" s="49"/>
      <c r="ACM58" s="49"/>
      <c r="ACN58" s="49"/>
      <c r="ACO58" s="49"/>
      <c r="ACP58" s="49"/>
      <c r="ACQ58" s="49"/>
      <c r="ACR58" s="49"/>
      <c r="ACS58" s="49"/>
      <c r="ACT58" s="49"/>
      <c r="ACU58" s="49"/>
      <c r="ACV58" s="49"/>
      <c r="ACW58" s="49"/>
      <c r="ACX58" s="49"/>
      <c r="ACY58" s="49"/>
      <c r="ACZ58" s="49"/>
      <c r="ADA58" s="49"/>
      <c r="ADB58" s="49"/>
      <c r="ADC58" s="49"/>
      <c r="ADD58" s="49"/>
      <c r="ADE58" s="49"/>
      <c r="ADF58" s="49"/>
      <c r="ADG58" s="49"/>
      <c r="ADH58" s="49"/>
      <c r="ADI58" s="49"/>
      <c r="ADJ58" s="49"/>
      <c r="ADK58" s="49"/>
      <c r="ADL58" s="49"/>
      <c r="ADM58" s="49"/>
      <c r="ADN58" s="49"/>
      <c r="ADO58" s="49"/>
      <c r="ADP58" s="49"/>
      <c r="ADQ58" s="49"/>
      <c r="ADR58" s="49"/>
      <c r="ADS58" s="49"/>
      <c r="ADT58" s="49"/>
      <c r="ADU58" s="49"/>
      <c r="ADV58" s="49"/>
      <c r="ADW58" s="49"/>
      <c r="ADX58" s="49"/>
      <c r="ADY58" s="49"/>
      <c r="ADZ58" s="49"/>
      <c r="AEA58" s="49"/>
      <c r="AEB58" s="49"/>
      <c r="AEC58" s="49"/>
      <c r="AED58" s="49"/>
      <c r="AEE58" s="49"/>
      <c r="AEF58" s="49"/>
      <c r="AEG58" s="49"/>
      <c r="AEH58" s="49"/>
      <c r="AEI58" s="49"/>
      <c r="AEJ58" s="49"/>
      <c r="AEK58" s="49"/>
      <c r="AEL58" s="49"/>
      <c r="AEM58" s="49"/>
      <c r="AEN58" s="49"/>
      <c r="AEO58" s="49"/>
      <c r="AEP58" s="49"/>
      <c r="AEQ58" s="49"/>
      <c r="AER58" s="49"/>
      <c r="AES58" s="49"/>
      <c r="AET58" s="49"/>
      <c r="AEU58" s="49"/>
      <c r="AEV58" s="49"/>
      <c r="AEW58" s="49"/>
      <c r="AEX58" s="49"/>
      <c r="AEY58" s="49"/>
      <c r="AEZ58" s="49"/>
      <c r="AFA58" s="49"/>
      <c r="AFB58" s="49"/>
      <c r="AFC58" s="49"/>
      <c r="AFD58" s="49"/>
      <c r="AFE58" s="49"/>
      <c r="AFF58" s="49"/>
      <c r="AFG58" s="49"/>
      <c r="AFH58" s="49"/>
      <c r="AFI58" s="49"/>
      <c r="AFJ58" s="49"/>
      <c r="AFK58" s="49"/>
      <c r="AFL58" s="49"/>
      <c r="AFM58" s="49"/>
      <c r="AFN58" s="49"/>
      <c r="AFO58" s="49"/>
      <c r="AFP58" s="49"/>
      <c r="AFQ58" s="49"/>
      <c r="AFR58" s="49"/>
      <c r="AFS58" s="49"/>
      <c r="AFT58" s="49"/>
      <c r="AFU58" s="49"/>
      <c r="AFV58" s="49"/>
      <c r="AFW58" s="49"/>
      <c r="AFX58" s="49"/>
      <c r="AFY58" s="49"/>
      <c r="AFZ58" s="49"/>
      <c r="AGA58" s="49"/>
      <c r="AGB58" s="49"/>
      <c r="AGC58" s="49"/>
      <c r="AGD58" s="49"/>
      <c r="AGE58" s="49"/>
      <c r="AGF58" s="49"/>
      <c r="AGG58" s="49"/>
      <c r="AGH58" s="49"/>
      <c r="AGI58" s="49"/>
      <c r="AGJ58" s="49"/>
      <c r="AGK58" s="49"/>
      <c r="AGL58" s="49"/>
      <c r="AGM58" s="49"/>
      <c r="AGN58" s="49"/>
      <c r="AGO58" s="49"/>
      <c r="AGP58" s="49"/>
      <c r="AGQ58" s="49"/>
      <c r="AGR58" s="49"/>
      <c r="AGS58" s="49"/>
      <c r="AGT58" s="49"/>
      <c r="AGU58" s="49"/>
      <c r="AGV58" s="49"/>
      <c r="AGW58" s="49"/>
      <c r="AGX58" s="49"/>
      <c r="AGY58" s="49"/>
      <c r="AGZ58" s="49"/>
      <c r="AHA58" s="49"/>
      <c r="AHB58" s="49"/>
      <c r="AHC58" s="49"/>
      <c r="AHD58" s="49"/>
      <c r="AHE58" s="49"/>
      <c r="AHF58" s="49"/>
      <c r="AHG58" s="49"/>
      <c r="AHH58" s="49"/>
      <c r="AHI58" s="49"/>
      <c r="AHJ58" s="49"/>
      <c r="AHK58" s="49"/>
      <c r="AHL58" s="49"/>
      <c r="AHM58" s="49"/>
      <c r="AHN58" s="49"/>
      <c r="AHO58" s="49"/>
      <c r="AHP58" s="49"/>
      <c r="AHQ58" s="49"/>
      <c r="AHR58" s="49"/>
      <c r="AHS58" s="49"/>
      <c r="AHT58" s="49"/>
      <c r="AHU58" s="49"/>
      <c r="AHV58" s="49"/>
      <c r="AHW58" s="49"/>
      <c r="AHX58" s="49"/>
      <c r="AHY58" s="49"/>
      <c r="AHZ58" s="49"/>
      <c r="AIA58" s="49"/>
      <c r="AIB58" s="49"/>
      <c r="AIC58" s="49"/>
      <c r="AID58" s="49"/>
      <c r="AIE58" s="49"/>
      <c r="AIF58" s="49"/>
      <c r="AIG58" s="49"/>
      <c r="AIH58" s="49"/>
      <c r="AII58" s="49"/>
      <c r="AIJ58" s="49"/>
      <c r="AIK58" s="49"/>
      <c r="AIL58" s="49"/>
      <c r="AIM58" s="49"/>
      <c r="AIN58" s="49"/>
      <c r="AIO58" s="49"/>
      <c r="AIP58" s="49"/>
      <c r="AIQ58" s="49"/>
      <c r="AIR58" s="49"/>
      <c r="AIS58" s="49"/>
      <c r="AIT58" s="49"/>
      <c r="AIU58" s="49"/>
      <c r="AIV58" s="49"/>
      <c r="AIW58" s="49"/>
      <c r="AIX58" s="49"/>
      <c r="AIY58" s="49"/>
      <c r="AIZ58" s="49"/>
      <c r="AJA58" s="49"/>
      <c r="AJB58" s="49"/>
      <c r="AJC58" s="49"/>
      <c r="AJD58" s="49"/>
      <c r="AJE58" s="49"/>
      <c r="AJF58" s="49"/>
      <c r="AJG58" s="49"/>
      <c r="AJH58" s="49"/>
      <c r="AJI58" s="49"/>
      <c r="AJJ58" s="49"/>
      <c r="AJK58" s="49"/>
      <c r="AJL58" s="49"/>
      <c r="AJM58" s="49"/>
      <c r="AJN58" s="49"/>
      <c r="AJO58" s="49"/>
      <c r="AJP58" s="49"/>
      <c r="AJQ58" s="49"/>
      <c r="AJR58" s="49"/>
      <c r="AJS58" s="49"/>
      <c r="AJT58" s="49"/>
      <c r="AJU58" s="49"/>
      <c r="AJV58" s="49"/>
      <c r="AJW58" s="49"/>
      <c r="AJX58" s="49"/>
      <c r="AJY58" s="49"/>
      <c r="AJZ58" s="49"/>
      <c r="AKA58" s="49"/>
      <c r="AKB58" s="49"/>
      <c r="AKC58" s="49"/>
      <c r="AKD58" s="49"/>
      <c r="AKE58" s="49"/>
      <c r="AKF58" s="49"/>
      <c r="AKG58" s="49"/>
      <c r="AKH58" s="49"/>
      <c r="AKI58" s="49"/>
      <c r="AKJ58" s="49"/>
      <c r="AKK58" s="49"/>
      <c r="AKL58" s="49"/>
      <c r="AKM58" s="49"/>
      <c r="AKN58" s="49"/>
      <c r="AKO58" s="49"/>
      <c r="AKP58" s="49"/>
      <c r="AKQ58" s="49"/>
      <c r="AKR58" s="49"/>
      <c r="AKS58" s="49"/>
      <c r="AKT58" s="49"/>
      <c r="AKU58" s="49"/>
      <c r="AKV58" s="49"/>
      <c r="AKW58" s="49"/>
      <c r="AKX58" s="49"/>
      <c r="AKY58" s="49"/>
      <c r="AKZ58" s="49"/>
      <c r="ALA58" s="49"/>
      <c r="ALB58" s="49"/>
      <c r="ALC58" s="49"/>
      <c r="ALD58" s="49"/>
      <c r="ALE58" s="49"/>
      <c r="ALF58" s="49"/>
      <c r="ALG58" s="49"/>
      <c r="ALH58" s="49"/>
      <c r="ALI58" s="49"/>
      <c r="ALJ58" s="49"/>
      <c r="ALK58" s="49"/>
      <c r="ALL58" s="49"/>
      <c r="ALM58" s="49"/>
      <c r="ALN58" s="49"/>
      <c r="ALO58" s="49"/>
      <c r="ALP58" s="49"/>
      <c r="ALQ58" s="49"/>
      <c r="ALR58" s="49"/>
      <c r="ALS58" s="49"/>
      <c r="ALT58" s="49"/>
      <c r="ALU58" s="49"/>
      <c r="ALV58" s="49"/>
      <c r="ALW58" s="49"/>
      <c r="ALX58" s="49"/>
      <c r="ALY58" s="49"/>
      <c r="ALZ58" s="49"/>
      <c r="AMA58" s="49"/>
      <c r="AMB58" s="49"/>
      <c r="AMC58" s="49"/>
      <c r="AMD58" s="49"/>
      <c r="AME58" s="49"/>
      <c r="AMF58" s="49"/>
      <c r="AMG58" s="49"/>
      <c r="AMH58" s="49"/>
      <c r="AMI58" s="49"/>
      <c r="AMJ58" s="49"/>
      <c r="AMK58" s="49"/>
    </row>
    <row r="59" spans="1:1025" ht="15" customHeight="1">
      <c r="A59" s="28" t="s">
        <v>15</v>
      </c>
      <c r="B59" s="117"/>
      <c r="C59" s="55"/>
      <c r="D59" s="62" t="s">
        <v>138</v>
      </c>
      <c r="E59" s="56">
        <v>1</v>
      </c>
      <c r="F59" s="91" t="b">
        <v>0</v>
      </c>
      <c r="G59" s="57">
        <v>0.9</v>
      </c>
      <c r="H59" s="57">
        <v>1.9</v>
      </c>
      <c r="I59" s="56" t="s">
        <v>63</v>
      </c>
      <c r="J59" s="56" t="s">
        <v>78</v>
      </c>
      <c r="K59" s="57">
        <v>0.9</v>
      </c>
      <c r="L59" s="57">
        <v>1.9</v>
      </c>
      <c r="M59" s="58">
        <f t="shared" si="9"/>
        <v>1.71</v>
      </c>
      <c r="N59" s="34"/>
      <c r="O59" s="74"/>
      <c r="P59" s="57"/>
      <c r="Q59" s="16"/>
      <c r="R59" s="46"/>
      <c r="S59" s="46"/>
      <c r="T59" s="46"/>
      <c r="U59" s="46"/>
      <c r="V59" s="46"/>
      <c r="W59" s="46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H59" s="60"/>
      <c r="HI59" s="60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  <c r="HU59" s="60"/>
      <c r="HV59" s="60"/>
      <c r="HW59" s="60"/>
      <c r="HX59" s="60"/>
      <c r="HY59" s="60"/>
      <c r="HZ59" s="60"/>
      <c r="IA59" s="60"/>
      <c r="IB59" s="60"/>
      <c r="IC59" s="60"/>
      <c r="ID59" s="60"/>
      <c r="IE59" s="60"/>
      <c r="IF59" s="60"/>
      <c r="IG59" s="60"/>
      <c r="IH59" s="60"/>
      <c r="II59" s="60"/>
      <c r="IJ59" s="60"/>
      <c r="IK59" s="60"/>
      <c r="IL59" s="60"/>
      <c r="IM59" s="60"/>
      <c r="IN59" s="60"/>
      <c r="IO59" s="60"/>
      <c r="IP59" s="60"/>
      <c r="IQ59" s="60"/>
      <c r="IR59" s="60"/>
      <c r="IS59" s="60"/>
      <c r="IT59" s="60"/>
      <c r="IU59" s="60"/>
      <c r="IV59" s="60"/>
      <c r="IW59" s="60"/>
      <c r="IX59" s="60"/>
      <c r="IY59" s="60"/>
      <c r="IZ59" s="60"/>
      <c r="JA59" s="60"/>
      <c r="JB59" s="60"/>
      <c r="JC59" s="60"/>
      <c r="JD59" s="60"/>
      <c r="JE59" s="60"/>
      <c r="JF59" s="60"/>
      <c r="JG59" s="60"/>
      <c r="JH59" s="60"/>
      <c r="JI59" s="60"/>
      <c r="JJ59" s="60"/>
      <c r="JK59" s="60"/>
      <c r="JL59" s="60"/>
      <c r="JM59" s="60"/>
      <c r="JN59" s="60"/>
      <c r="JO59" s="60"/>
      <c r="JP59" s="60"/>
      <c r="JQ59" s="60"/>
      <c r="JR59" s="60"/>
      <c r="JS59" s="60"/>
      <c r="JT59" s="60"/>
      <c r="JU59" s="60"/>
      <c r="JV59" s="60"/>
      <c r="JW59" s="60"/>
      <c r="JX59" s="60"/>
      <c r="JY59" s="60"/>
      <c r="JZ59" s="60"/>
      <c r="KA59" s="60"/>
      <c r="KB59" s="60"/>
      <c r="KC59" s="60"/>
      <c r="KD59" s="60"/>
      <c r="KE59" s="60"/>
      <c r="KF59" s="60"/>
      <c r="KG59" s="60"/>
      <c r="KH59" s="60"/>
      <c r="KI59" s="60"/>
      <c r="KJ59" s="60"/>
      <c r="KK59" s="60"/>
      <c r="KL59" s="60"/>
      <c r="KM59" s="60"/>
      <c r="KN59" s="60"/>
      <c r="KO59" s="60"/>
      <c r="KP59" s="60"/>
      <c r="KQ59" s="60"/>
      <c r="KR59" s="60"/>
      <c r="KS59" s="60"/>
      <c r="KT59" s="60"/>
      <c r="KU59" s="60"/>
      <c r="KV59" s="60"/>
      <c r="KW59" s="60"/>
      <c r="KX59" s="60"/>
      <c r="KY59" s="60"/>
      <c r="KZ59" s="60"/>
      <c r="LA59" s="60"/>
      <c r="LB59" s="60"/>
      <c r="LC59" s="60"/>
      <c r="LD59" s="60"/>
      <c r="LE59" s="60"/>
      <c r="LF59" s="60"/>
      <c r="LG59" s="60"/>
      <c r="LH59" s="60"/>
      <c r="LI59" s="60"/>
      <c r="LJ59" s="60"/>
      <c r="LK59" s="60"/>
      <c r="LL59" s="60"/>
      <c r="LM59" s="60"/>
      <c r="LN59" s="60"/>
      <c r="LO59" s="60"/>
      <c r="LP59" s="60"/>
      <c r="LQ59" s="60"/>
      <c r="LR59" s="60"/>
      <c r="LS59" s="60"/>
      <c r="LT59" s="60"/>
      <c r="LU59" s="60"/>
      <c r="LV59" s="60"/>
      <c r="LW59" s="60"/>
      <c r="LX59" s="60"/>
      <c r="LY59" s="60"/>
      <c r="LZ59" s="60"/>
      <c r="MA59" s="60"/>
      <c r="MB59" s="60"/>
      <c r="MC59" s="60"/>
      <c r="MD59" s="60"/>
      <c r="ME59" s="60"/>
      <c r="MF59" s="60"/>
      <c r="MG59" s="60"/>
      <c r="MH59" s="60"/>
      <c r="MI59" s="60"/>
      <c r="MJ59" s="60"/>
      <c r="MK59" s="60"/>
      <c r="ML59" s="60"/>
      <c r="MM59" s="60"/>
      <c r="MN59" s="60"/>
      <c r="MO59" s="60"/>
      <c r="MP59" s="60"/>
      <c r="MQ59" s="60"/>
      <c r="MR59" s="60"/>
      <c r="MS59" s="60"/>
      <c r="MT59" s="60"/>
      <c r="MU59" s="60"/>
      <c r="MV59" s="60"/>
      <c r="MW59" s="60"/>
      <c r="MX59" s="60"/>
      <c r="MY59" s="60"/>
      <c r="MZ59" s="60"/>
      <c r="NA59" s="60"/>
      <c r="NB59" s="60"/>
      <c r="NC59" s="60"/>
      <c r="ND59" s="60"/>
      <c r="NE59" s="60"/>
      <c r="NF59" s="60"/>
      <c r="NG59" s="60"/>
      <c r="NH59" s="60"/>
      <c r="NI59" s="60"/>
      <c r="NJ59" s="60"/>
      <c r="NK59" s="60"/>
      <c r="NL59" s="60"/>
      <c r="NM59" s="60"/>
      <c r="NN59" s="60"/>
      <c r="NO59" s="60"/>
      <c r="NP59" s="60"/>
      <c r="NQ59" s="60"/>
      <c r="NR59" s="60"/>
      <c r="NS59" s="60"/>
      <c r="NT59" s="60"/>
      <c r="NU59" s="60"/>
      <c r="NV59" s="60"/>
      <c r="NW59" s="60"/>
      <c r="NX59" s="60"/>
      <c r="NY59" s="60"/>
      <c r="NZ59" s="60"/>
      <c r="OA59" s="60"/>
      <c r="OB59" s="60"/>
      <c r="OC59" s="60"/>
      <c r="OD59" s="60"/>
      <c r="OE59" s="60"/>
      <c r="OF59" s="60"/>
      <c r="OG59" s="60"/>
      <c r="OH59" s="60"/>
      <c r="OI59" s="60"/>
      <c r="OJ59" s="60"/>
      <c r="OK59" s="60"/>
      <c r="OL59" s="60"/>
      <c r="OM59" s="60"/>
      <c r="ON59" s="60"/>
      <c r="OO59" s="60"/>
      <c r="OP59" s="60"/>
      <c r="OQ59" s="60"/>
      <c r="OR59" s="60"/>
      <c r="OS59" s="60"/>
      <c r="OT59" s="60"/>
      <c r="OU59" s="60"/>
      <c r="OV59" s="60"/>
      <c r="OW59" s="60"/>
      <c r="OX59" s="60"/>
      <c r="OY59" s="60"/>
      <c r="OZ59" s="60"/>
      <c r="PA59" s="60"/>
      <c r="PB59" s="60"/>
      <c r="PC59" s="60"/>
      <c r="PD59" s="60"/>
      <c r="PE59" s="60"/>
      <c r="PF59" s="60"/>
      <c r="PG59" s="60"/>
      <c r="PH59" s="60"/>
      <c r="PI59" s="60"/>
      <c r="PJ59" s="60"/>
      <c r="PK59" s="60"/>
      <c r="PL59" s="60"/>
      <c r="PM59" s="60"/>
      <c r="PN59" s="60"/>
      <c r="PO59" s="60"/>
      <c r="PP59" s="60"/>
      <c r="PQ59" s="60"/>
      <c r="PR59" s="60"/>
      <c r="PS59" s="60"/>
      <c r="PT59" s="60"/>
      <c r="PU59" s="60"/>
      <c r="PV59" s="60"/>
      <c r="PW59" s="60"/>
      <c r="PX59" s="60"/>
      <c r="PY59" s="60"/>
      <c r="PZ59" s="60"/>
      <c r="QA59" s="60"/>
      <c r="QB59" s="60"/>
      <c r="QC59" s="60"/>
      <c r="QD59" s="60"/>
      <c r="QE59" s="60"/>
      <c r="QF59" s="60"/>
      <c r="QG59" s="60"/>
      <c r="QH59" s="60"/>
      <c r="QI59" s="60"/>
      <c r="QJ59" s="60"/>
      <c r="QK59" s="60"/>
      <c r="QL59" s="60"/>
      <c r="QM59" s="60"/>
      <c r="QN59" s="60"/>
      <c r="QO59" s="60"/>
      <c r="QP59" s="60"/>
      <c r="QQ59" s="60"/>
      <c r="QR59" s="60"/>
      <c r="QS59" s="60"/>
      <c r="QT59" s="60"/>
      <c r="QU59" s="60"/>
      <c r="QV59" s="60"/>
      <c r="QW59" s="60"/>
      <c r="QX59" s="60"/>
      <c r="QY59" s="60"/>
      <c r="QZ59" s="60"/>
      <c r="RA59" s="60"/>
      <c r="RB59" s="60"/>
      <c r="RC59" s="60"/>
      <c r="RD59" s="60"/>
      <c r="RE59" s="60"/>
      <c r="RF59" s="60"/>
      <c r="RG59" s="60"/>
      <c r="RH59" s="60"/>
      <c r="RI59" s="60"/>
      <c r="RJ59" s="60"/>
      <c r="RK59" s="60"/>
      <c r="RL59" s="60"/>
      <c r="RM59" s="60"/>
      <c r="RN59" s="60"/>
      <c r="RO59" s="60"/>
      <c r="RP59" s="60"/>
      <c r="RQ59" s="60"/>
      <c r="RR59" s="60"/>
      <c r="RS59" s="60"/>
      <c r="RT59" s="60"/>
      <c r="RU59" s="60"/>
      <c r="RV59" s="60"/>
      <c r="RW59" s="60"/>
      <c r="RX59" s="60"/>
      <c r="RY59" s="60"/>
      <c r="RZ59" s="60"/>
      <c r="SA59" s="60"/>
      <c r="SB59" s="60"/>
      <c r="SC59" s="60"/>
      <c r="SD59" s="60"/>
      <c r="SE59" s="60"/>
      <c r="SF59" s="60"/>
      <c r="SG59" s="60"/>
      <c r="SH59" s="60"/>
      <c r="SI59" s="60"/>
      <c r="SJ59" s="60"/>
      <c r="SK59" s="60"/>
      <c r="SL59" s="60"/>
      <c r="SM59" s="60"/>
      <c r="SN59" s="60"/>
      <c r="SO59" s="60"/>
      <c r="SP59" s="60"/>
      <c r="SQ59" s="60"/>
      <c r="SR59" s="60"/>
      <c r="SS59" s="60"/>
      <c r="ST59" s="60"/>
      <c r="SU59" s="60"/>
      <c r="SV59" s="60"/>
      <c r="SW59" s="60"/>
      <c r="SX59" s="60"/>
      <c r="SY59" s="60"/>
      <c r="SZ59" s="60"/>
      <c r="TA59" s="60"/>
      <c r="TB59" s="60"/>
      <c r="TC59" s="60"/>
      <c r="TD59" s="60"/>
      <c r="TE59" s="60"/>
      <c r="TF59" s="60"/>
      <c r="TG59" s="60"/>
      <c r="TH59" s="60"/>
      <c r="TI59" s="60"/>
      <c r="TJ59" s="60"/>
      <c r="TK59" s="60"/>
      <c r="TL59" s="60"/>
      <c r="TM59" s="60"/>
      <c r="TN59" s="60"/>
      <c r="TO59" s="60"/>
      <c r="TP59" s="60"/>
      <c r="TQ59" s="60"/>
      <c r="TR59" s="60"/>
      <c r="TS59" s="60"/>
      <c r="TT59" s="60"/>
      <c r="TU59" s="60"/>
      <c r="TV59" s="60"/>
      <c r="TW59" s="60"/>
      <c r="TX59" s="60"/>
      <c r="TY59" s="60"/>
      <c r="TZ59" s="60"/>
      <c r="UA59" s="60"/>
      <c r="UB59" s="60"/>
      <c r="UC59" s="60"/>
      <c r="UD59" s="60"/>
      <c r="UE59" s="60"/>
      <c r="UF59" s="60"/>
      <c r="UG59" s="60"/>
      <c r="UH59" s="60"/>
      <c r="UI59" s="60"/>
      <c r="UJ59" s="60"/>
      <c r="UK59" s="60"/>
      <c r="UL59" s="60"/>
      <c r="UM59" s="60"/>
      <c r="UN59" s="60"/>
      <c r="UO59" s="60"/>
      <c r="UP59" s="60"/>
      <c r="UQ59" s="60"/>
      <c r="UR59" s="60"/>
      <c r="US59" s="60"/>
      <c r="UT59" s="60"/>
      <c r="UU59" s="60"/>
      <c r="UV59" s="60"/>
      <c r="UW59" s="60"/>
      <c r="UX59" s="60"/>
      <c r="UY59" s="60"/>
      <c r="UZ59" s="60"/>
      <c r="VA59" s="60"/>
      <c r="VB59" s="60"/>
      <c r="VC59" s="60"/>
      <c r="VD59" s="60"/>
      <c r="VE59" s="60"/>
      <c r="VF59" s="60"/>
      <c r="VG59" s="60"/>
      <c r="VH59" s="60"/>
      <c r="VI59" s="60"/>
      <c r="VJ59" s="60"/>
      <c r="VK59" s="60"/>
      <c r="VL59" s="60"/>
      <c r="VM59" s="60"/>
      <c r="VN59" s="60"/>
      <c r="VO59" s="60"/>
      <c r="VP59" s="60"/>
      <c r="VQ59" s="60"/>
      <c r="VR59" s="60"/>
      <c r="VS59" s="60"/>
      <c r="VT59" s="60"/>
      <c r="VU59" s="60"/>
      <c r="VV59" s="60"/>
      <c r="VW59" s="60"/>
      <c r="VX59" s="60"/>
      <c r="VY59" s="60"/>
      <c r="VZ59" s="60"/>
      <c r="WA59" s="60"/>
      <c r="WB59" s="60"/>
      <c r="WC59" s="60"/>
      <c r="WD59" s="60"/>
      <c r="WE59" s="60"/>
      <c r="WF59" s="60"/>
      <c r="WG59" s="60"/>
      <c r="WH59" s="60"/>
      <c r="WI59" s="60"/>
      <c r="WJ59" s="60"/>
      <c r="WK59" s="60"/>
      <c r="WL59" s="60"/>
      <c r="WM59" s="60"/>
      <c r="WN59" s="60"/>
      <c r="WO59" s="60"/>
      <c r="WP59" s="60"/>
      <c r="WQ59" s="60"/>
      <c r="WR59" s="60"/>
      <c r="WS59" s="60"/>
      <c r="WT59" s="60"/>
      <c r="WU59" s="60"/>
      <c r="WV59" s="60"/>
      <c r="WW59" s="60"/>
      <c r="WX59" s="60"/>
      <c r="WY59" s="60"/>
      <c r="WZ59" s="60"/>
      <c r="XA59" s="60"/>
      <c r="XB59" s="60"/>
      <c r="XC59" s="60"/>
      <c r="XD59" s="60"/>
      <c r="XE59" s="60"/>
      <c r="XF59" s="60"/>
      <c r="XG59" s="60"/>
      <c r="XH59" s="60"/>
      <c r="XI59" s="60"/>
      <c r="XJ59" s="60"/>
      <c r="XK59" s="60"/>
      <c r="XL59" s="60"/>
      <c r="XM59" s="60"/>
      <c r="XN59" s="60"/>
      <c r="XO59" s="60"/>
      <c r="XP59" s="60"/>
      <c r="XQ59" s="60"/>
      <c r="XR59" s="60"/>
      <c r="XS59" s="60"/>
      <c r="XT59" s="60"/>
      <c r="XU59" s="60"/>
      <c r="XV59" s="60"/>
      <c r="XW59" s="60"/>
      <c r="XX59" s="60"/>
      <c r="XY59" s="60"/>
      <c r="XZ59" s="60"/>
      <c r="YA59" s="60"/>
      <c r="YB59" s="60"/>
      <c r="YC59" s="60"/>
      <c r="YD59" s="60"/>
      <c r="YE59" s="60"/>
      <c r="YF59" s="60"/>
      <c r="YG59" s="60"/>
      <c r="YH59" s="60"/>
      <c r="YI59" s="60"/>
      <c r="YJ59" s="60"/>
      <c r="YK59" s="60"/>
      <c r="YL59" s="60"/>
      <c r="YM59" s="60"/>
      <c r="YN59" s="60"/>
      <c r="YO59" s="60"/>
      <c r="YP59" s="60"/>
      <c r="YQ59" s="60"/>
      <c r="YR59" s="60"/>
      <c r="YS59" s="60"/>
      <c r="YT59" s="60"/>
      <c r="YU59" s="60"/>
      <c r="YV59" s="60"/>
      <c r="YW59" s="60"/>
      <c r="YX59" s="60"/>
      <c r="YY59" s="60"/>
      <c r="YZ59" s="60"/>
      <c r="ZA59" s="60"/>
      <c r="ZB59" s="60"/>
      <c r="ZC59" s="60"/>
      <c r="ZD59" s="60"/>
      <c r="ZE59" s="60"/>
      <c r="ZF59" s="60"/>
      <c r="ZG59" s="60"/>
      <c r="ZH59" s="60"/>
      <c r="ZI59" s="60"/>
      <c r="ZJ59" s="60"/>
      <c r="ZK59" s="60"/>
      <c r="ZL59" s="60"/>
      <c r="ZM59" s="60"/>
      <c r="ZN59" s="60"/>
      <c r="ZO59" s="60"/>
      <c r="ZP59" s="60"/>
      <c r="ZQ59" s="60"/>
      <c r="ZR59" s="60"/>
      <c r="ZS59" s="60"/>
      <c r="ZT59" s="60"/>
      <c r="ZU59" s="60"/>
      <c r="ZV59" s="60"/>
      <c r="ZW59" s="60"/>
      <c r="ZX59" s="60"/>
      <c r="ZY59" s="60"/>
      <c r="ZZ59" s="60"/>
      <c r="AAA59" s="60"/>
      <c r="AAB59" s="60"/>
      <c r="AAC59" s="60"/>
      <c r="AAD59" s="60"/>
      <c r="AAE59" s="60"/>
      <c r="AAF59" s="60"/>
      <c r="AAG59" s="60"/>
      <c r="AAH59" s="60"/>
      <c r="AAI59" s="60"/>
      <c r="AAJ59" s="60"/>
      <c r="AAK59" s="60"/>
      <c r="AAL59" s="60"/>
      <c r="AAM59" s="60"/>
      <c r="AAN59" s="60"/>
      <c r="AAO59" s="60"/>
      <c r="AAP59" s="60"/>
      <c r="AAQ59" s="60"/>
      <c r="AAR59" s="60"/>
      <c r="AAS59" s="60"/>
      <c r="AAT59" s="60"/>
      <c r="AAU59" s="60"/>
      <c r="AAV59" s="60"/>
      <c r="AAW59" s="60"/>
      <c r="AAX59" s="60"/>
      <c r="AAY59" s="60"/>
      <c r="AAZ59" s="60"/>
      <c r="ABA59" s="60"/>
      <c r="ABB59" s="60"/>
      <c r="ABC59" s="60"/>
      <c r="ABD59" s="60"/>
      <c r="ABE59" s="60"/>
      <c r="ABF59" s="60"/>
      <c r="ABG59" s="60"/>
      <c r="ABH59" s="60"/>
      <c r="ABI59" s="60"/>
      <c r="ABJ59" s="60"/>
      <c r="ABK59" s="60"/>
      <c r="ABL59" s="60"/>
      <c r="ABM59" s="60"/>
      <c r="ABN59" s="60"/>
      <c r="ABO59" s="60"/>
      <c r="ABP59" s="60"/>
      <c r="ABQ59" s="60"/>
      <c r="ABR59" s="60"/>
      <c r="ABS59" s="60"/>
      <c r="ABT59" s="60"/>
      <c r="ABU59" s="60"/>
      <c r="ABV59" s="60"/>
      <c r="ABW59" s="60"/>
      <c r="ABX59" s="60"/>
      <c r="ABY59" s="60"/>
      <c r="ABZ59" s="60"/>
      <c r="ACA59" s="60"/>
      <c r="ACB59" s="60"/>
      <c r="ACC59" s="60"/>
      <c r="ACD59" s="60"/>
      <c r="ACE59" s="60"/>
      <c r="ACF59" s="60"/>
      <c r="ACG59" s="60"/>
      <c r="ACH59" s="60"/>
      <c r="ACI59" s="60"/>
      <c r="ACJ59" s="60"/>
      <c r="ACK59" s="60"/>
      <c r="ACL59" s="60"/>
      <c r="ACM59" s="60"/>
      <c r="ACN59" s="60"/>
      <c r="ACO59" s="60"/>
      <c r="ACP59" s="60"/>
      <c r="ACQ59" s="60"/>
      <c r="ACR59" s="60"/>
      <c r="ACS59" s="60"/>
      <c r="ACT59" s="60"/>
      <c r="ACU59" s="60"/>
      <c r="ACV59" s="60"/>
      <c r="ACW59" s="60"/>
      <c r="ACX59" s="60"/>
      <c r="ACY59" s="60"/>
      <c r="ACZ59" s="60"/>
      <c r="ADA59" s="60"/>
      <c r="ADB59" s="60"/>
      <c r="ADC59" s="60"/>
      <c r="ADD59" s="60"/>
      <c r="ADE59" s="60"/>
      <c r="ADF59" s="60"/>
      <c r="ADG59" s="60"/>
      <c r="ADH59" s="60"/>
      <c r="ADI59" s="60"/>
      <c r="ADJ59" s="60"/>
      <c r="ADK59" s="60"/>
      <c r="ADL59" s="60"/>
      <c r="ADM59" s="60"/>
      <c r="ADN59" s="60"/>
      <c r="ADO59" s="60"/>
      <c r="ADP59" s="60"/>
      <c r="ADQ59" s="60"/>
      <c r="ADR59" s="60"/>
      <c r="ADS59" s="60"/>
      <c r="ADT59" s="60"/>
      <c r="ADU59" s="60"/>
      <c r="ADV59" s="60"/>
      <c r="ADW59" s="60"/>
      <c r="ADX59" s="60"/>
      <c r="ADY59" s="60"/>
      <c r="ADZ59" s="60"/>
      <c r="AEA59" s="60"/>
      <c r="AEB59" s="60"/>
      <c r="AEC59" s="60"/>
      <c r="AED59" s="60"/>
      <c r="AEE59" s="60"/>
      <c r="AEF59" s="60"/>
      <c r="AEG59" s="60"/>
      <c r="AEH59" s="60"/>
      <c r="AEI59" s="60"/>
      <c r="AEJ59" s="60"/>
      <c r="AEK59" s="60"/>
      <c r="AEL59" s="60"/>
      <c r="AEM59" s="60"/>
      <c r="AEN59" s="60"/>
      <c r="AEO59" s="60"/>
      <c r="AEP59" s="60"/>
      <c r="AEQ59" s="60"/>
      <c r="AER59" s="60"/>
      <c r="AES59" s="60"/>
      <c r="AET59" s="60"/>
      <c r="AEU59" s="60"/>
      <c r="AEV59" s="60"/>
      <c r="AEW59" s="60"/>
      <c r="AEX59" s="60"/>
      <c r="AEY59" s="60"/>
      <c r="AEZ59" s="60"/>
      <c r="AFA59" s="60"/>
      <c r="AFB59" s="60"/>
      <c r="AFC59" s="60"/>
      <c r="AFD59" s="60"/>
      <c r="AFE59" s="60"/>
      <c r="AFF59" s="60"/>
      <c r="AFG59" s="60"/>
      <c r="AFH59" s="60"/>
      <c r="AFI59" s="60"/>
      <c r="AFJ59" s="60"/>
      <c r="AFK59" s="60"/>
      <c r="AFL59" s="60"/>
      <c r="AFM59" s="60"/>
      <c r="AFN59" s="60"/>
      <c r="AFO59" s="60"/>
      <c r="AFP59" s="60"/>
      <c r="AFQ59" s="60"/>
      <c r="AFR59" s="60"/>
      <c r="AFS59" s="60"/>
      <c r="AFT59" s="60"/>
      <c r="AFU59" s="60"/>
      <c r="AFV59" s="60"/>
      <c r="AFW59" s="60"/>
      <c r="AFX59" s="60"/>
      <c r="AFY59" s="60"/>
      <c r="AFZ59" s="60"/>
      <c r="AGA59" s="60"/>
      <c r="AGB59" s="60"/>
      <c r="AGC59" s="60"/>
      <c r="AGD59" s="60"/>
      <c r="AGE59" s="60"/>
      <c r="AGF59" s="60"/>
      <c r="AGG59" s="60"/>
      <c r="AGH59" s="60"/>
      <c r="AGI59" s="60"/>
      <c r="AGJ59" s="60"/>
      <c r="AGK59" s="60"/>
      <c r="AGL59" s="60"/>
      <c r="AGM59" s="60"/>
      <c r="AGN59" s="60"/>
      <c r="AGO59" s="60"/>
      <c r="AGP59" s="60"/>
      <c r="AGQ59" s="60"/>
      <c r="AGR59" s="60"/>
      <c r="AGS59" s="60"/>
      <c r="AGT59" s="60"/>
      <c r="AGU59" s="60"/>
      <c r="AGV59" s="60"/>
      <c r="AGW59" s="60"/>
      <c r="AGX59" s="60"/>
      <c r="AGY59" s="60"/>
      <c r="AGZ59" s="60"/>
      <c r="AHA59" s="60"/>
      <c r="AHB59" s="60"/>
      <c r="AHC59" s="60"/>
      <c r="AHD59" s="60"/>
      <c r="AHE59" s="60"/>
      <c r="AHF59" s="60"/>
      <c r="AHG59" s="60"/>
      <c r="AHH59" s="60"/>
      <c r="AHI59" s="60"/>
      <c r="AHJ59" s="60"/>
      <c r="AHK59" s="60"/>
      <c r="AHL59" s="60"/>
      <c r="AHM59" s="60"/>
      <c r="AHN59" s="60"/>
      <c r="AHO59" s="60"/>
      <c r="AHP59" s="60"/>
      <c r="AHQ59" s="60"/>
      <c r="AHR59" s="60"/>
      <c r="AHS59" s="60"/>
      <c r="AHT59" s="60"/>
      <c r="AHU59" s="60"/>
      <c r="AHV59" s="60"/>
      <c r="AHW59" s="60"/>
      <c r="AHX59" s="60"/>
      <c r="AHY59" s="60"/>
      <c r="AHZ59" s="60"/>
      <c r="AIA59" s="60"/>
      <c r="AIB59" s="60"/>
      <c r="AIC59" s="60"/>
      <c r="AID59" s="60"/>
      <c r="AIE59" s="60"/>
      <c r="AIF59" s="60"/>
      <c r="AIG59" s="60"/>
      <c r="AIH59" s="60"/>
      <c r="AII59" s="60"/>
      <c r="AIJ59" s="60"/>
      <c r="AIK59" s="60"/>
      <c r="AIL59" s="60"/>
      <c r="AIM59" s="60"/>
      <c r="AIN59" s="60"/>
      <c r="AIO59" s="60"/>
      <c r="AIP59" s="60"/>
      <c r="AIQ59" s="60"/>
      <c r="AIR59" s="60"/>
      <c r="AIS59" s="60"/>
      <c r="AIT59" s="60"/>
      <c r="AIU59" s="60"/>
      <c r="AIV59" s="60"/>
      <c r="AIW59" s="60"/>
      <c r="AIX59" s="60"/>
      <c r="AIY59" s="60"/>
      <c r="AIZ59" s="60"/>
      <c r="AJA59" s="60"/>
      <c r="AJB59" s="60"/>
      <c r="AJC59" s="60"/>
      <c r="AJD59" s="60"/>
      <c r="AJE59" s="60"/>
      <c r="AJF59" s="60"/>
      <c r="AJG59" s="60"/>
      <c r="AJH59" s="60"/>
      <c r="AJI59" s="60"/>
      <c r="AJJ59" s="60"/>
      <c r="AJK59" s="60"/>
      <c r="AJL59" s="60"/>
      <c r="AJM59" s="60"/>
      <c r="AJN59" s="60"/>
      <c r="AJO59" s="60"/>
      <c r="AJP59" s="60"/>
      <c r="AJQ59" s="60"/>
      <c r="AJR59" s="60"/>
      <c r="AJS59" s="60"/>
      <c r="AJT59" s="60"/>
      <c r="AJU59" s="60"/>
      <c r="AJV59" s="60"/>
      <c r="AJW59" s="60"/>
      <c r="AJX59" s="60"/>
      <c r="AJY59" s="60"/>
      <c r="AJZ59" s="60"/>
      <c r="AKA59" s="60"/>
      <c r="AKB59" s="60"/>
      <c r="AKC59" s="60"/>
      <c r="AKD59" s="60"/>
      <c r="AKE59" s="60"/>
      <c r="AKF59" s="60"/>
      <c r="AKG59" s="60"/>
      <c r="AKH59" s="60"/>
      <c r="AKI59" s="60"/>
      <c r="AKJ59" s="60"/>
      <c r="AKK59" s="60"/>
      <c r="AKL59" s="60"/>
      <c r="AKM59" s="60"/>
      <c r="AKN59" s="60"/>
      <c r="AKO59" s="60"/>
      <c r="AKP59" s="60"/>
      <c r="AKQ59" s="60"/>
      <c r="AKR59" s="60"/>
      <c r="AKS59" s="60"/>
      <c r="AKT59" s="60"/>
      <c r="AKU59" s="60"/>
      <c r="AKV59" s="60"/>
      <c r="AKW59" s="60"/>
      <c r="AKX59" s="60"/>
      <c r="AKY59" s="60"/>
      <c r="AKZ59" s="60"/>
      <c r="ALA59" s="60"/>
      <c r="ALB59" s="60"/>
      <c r="ALC59" s="60"/>
      <c r="ALD59" s="60"/>
      <c r="ALE59" s="60"/>
      <c r="ALF59" s="60"/>
      <c r="ALG59" s="60"/>
      <c r="ALH59" s="60"/>
      <c r="ALI59" s="60"/>
      <c r="ALJ59" s="60"/>
      <c r="ALK59" s="60"/>
      <c r="ALL59" s="60"/>
      <c r="ALM59" s="60"/>
      <c r="ALN59" s="60"/>
      <c r="ALO59" s="60"/>
      <c r="ALP59" s="60"/>
      <c r="ALQ59" s="60"/>
      <c r="ALR59" s="60"/>
      <c r="ALS59" s="60"/>
      <c r="ALT59" s="60"/>
      <c r="ALU59" s="60"/>
      <c r="ALV59" s="60"/>
      <c r="ALW59" s="60"/>
      <c r="ALX59" s="60"/>
      <c r="ALY59" s="60"/>
      <c r="ALZ59" s="60"/>
      <c r="AMA59" s="60"/>
      <c r="AMB59" s="60"/>
      <c r="AMC59" s="60"/>
      <c r="AMD59" s="60"/>
      <c r="AME59" s="60"/>
      <c r="AMF59" s="60"/>
      <c r="AMG59" s="60"/>
      <c r="AMH59" s="60"/>
      <c r="AMI59" s="60"/>
      <c r="AMJ59" s="60"/>
      <c r="AMK59" s="46"/>
    </row>
    <row r="60" spans="1:1025" ht="15" customHeight="1">
      <c r="A60" s="28" t="s">
        <v>15</v>
      </c>
      <c r="B60" s="117"/>
      <c r="C60" s="55"/>
      <c r="D60" s="62" t="s">
        <v>139</v>
      </c>
      <c r="E60" s="56">
        <v>1</v>
      </c>
      <c r="F60" s="91" t="b">
        <v>0</v>
      </c>
      <c r="G60" s="57">
        <v>0.9</v>
      </c>
      <c r="H60" s="57">
        <v>1.9</v>
      </c>
      <c r="I60" s="56" t="s">
        <v>63</v>
      </c>
      <c r="J60" s="56" t="s">
        <v>78</v>
      </c>
      <c r="K60" s="57">
        <v>0.9</v>
      </c>
      <c r="L60" s="57">
        <v>1.9</v>
      </c>
      <c r="M60" s="58">
        <f t="shared" si="9"/>
        <v>1.71</v>
      </c>
      <c r="N60" s="34"/>
      <c r="O60" s="74"/>
      <c r="P60" s="58"/>
      <c r="Q60" s="16"/>
      <c r="R60" s="46"/>
      <c r="S60" s="46"/>
      <c r="T60" s="46"/>
      <c r="U60" s="46"/>
      <c r="V60" s="46"/>
      <c r="W60" s="46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  <c r="GT60" s="60"/>
      <c r="GU60" s="60"/>
      <c r="GV60" s="60"/>
      <c r="GW60" s="60"/>
      <c r="GX60" s="60"/>
      <c r="GY60" s="60"/>
      <c r="GZ60" s="60"/>
      <c r="HA60" s="60"/>
      <c r="HB60" s="60"/>
      <c r="HC60" s="60"/>
      <c r="HD60" s="60"/>
      <c r="HE60" s="60"/>
      <c r="HF60" s="60"/>
      <c r="HG60" s="60"/>
      <c r="HH60" s="60"/>
      <c r="HI60" s="60"/>
      <c r="HJ60" s="60"/>
      <c r="HK60" s="60"/>
      <c r="HL60" s="60"/>
      <c r="HM60" s="60"/>
      <c r="HN60" s="60"/>
      <c r="HO60" s="60"/>
      <c r="HP60" s="60"/>
      <c r="HQ60" s="60"/>
      <c r="HR60" s="60"/>
      <c r="HS60" s="60"/>
      <c r="HT60" s="60"/>
      <c r="HU60" s="60"/>
      <c r="HV60" s="60"/>
      <c r="HW60" s="60"/>
      <c r="HX60" s="60"/>
      <c r="HY60" s="60"/>
      <c r="HZ60" s="60"/>
      <c r="IA60" s="60"/>
      <c r="IB60" s="60"/>
      <c r="IC60" s="60"/>
      <c r="ID60" s="60"/>
      <c r="IE60" s="60"/>
      <c r="IF60" s="60"/>
      <c r="IG60" s="60"/>
      <c r="IH60" s="60"/>
      <c r="II60" s="60"/>
      <c r="IJ60" s="60"/>
      <c r="IK60" s="60"/>
      <c r="IL60" s="60"/>
      <c r="IM60" s="60"/>
      <c r="IN60" s="60"/>
      <c r="IO60" s="60"/>
      <c r="IP60" s="60"/>
      <c r="IQ60" s="60"/>
      <c r="IR60" s="60"/>
      <c r="IS60" s="60"/>
      <c r="IT60" s="60"/>
      <c r="IU60" s="60"/>
      <c r="IV60" s="60"/>
      <c r="IW60" s="60"/>
      <c r="IX60" s="60"/>
      <c r="IY60" s="60"/>
      <c r="IZ60" s="60"/>
      <c r="JA60" s="60"/>
      <c r="JB60" s="60"/>
      <c r="JC60" s="60"/>
      <c r="JD60" s="60"/>
      <c r="JE60" s="60"/>
      <c r="JF60" s="60"/>
      <c r="JG60" s="60"/>
      <c r="JH60" s="60"/>
      <c r="JI60" s="60"/>
      <c r="JJ60" s="60"/>
      <c r="JK60" s="60"/>
      <c r="JL60" s="60"/>
      <c r="JM60" s="60"/>
      <c r="JN60" s="60"/>
      <c r="JO60" s="60"/>
      <c r="JP60" s="60"/>
      <c r="JQ60" s="60"/>
      <c r="JR60" s="60"/>
      <c r="JS60" s="60"/>
      <c r="JT60" s="60"/>
      <c r="JU60" s="60"/>
      <c r="JV60" s="60"/>
      <c r="JW60" s="60"/>
      <c r="JX60" s="60"/>
      <c r="JY60" s="60"/>
      <c r="JZ60" s="60"/>
      <c r="KA60" s="60"/>
      <c r="KB60" s="60"/>
      <c r="KC60" s="60"/>
      <c r="KD60" s="60"/>
      <c r="KE60" s="60"/>
      <c r="KF60" s="60"/>
      <c r="KG60" s="60"/>
      <c r="KH60" s="60"/>
      <c r="KI60" s="60"/>
      <c r="KJ60" s="60"/>
      <c r="KK60" s="60"/>
      <c r="KL60" s="60"/>
      <c r="KM60" s="60"/>
      <c r="KN60" s="60"/>
      <c r="KO60" s="60"/>
      <c r="KP60" s="60"/>
      <c r="KQ60" s="60"/>
      <c r="KR60" s="60"/>
      <c r="KS60" s="60"/>
      <c r="KT60" s="60"/>
      <c r="KU60" s="60"/>
      <c r="KV60" s="60"/>
      <c r="KW60" s="60"/>
      <c r="KX60" s="60"/>
      <c r="KY60" s="60"/>
      <c r="KZ60" s="60"/>
      <c r="LA60" s="60"/>
      <c r="LB60" s="60"/>
      <c r="LC60" s="60"/>
      <c r="LD60" s="60"/>
      <c r="LE60" s="60"/>
      <c r="LF60" s="60"/>
      <c r="LG60" s="60"/>
      <c r="LH60" s="60"/>
      <c r="LI60" s="60"/>
      <c r="LJ60" s="60"/>
      <c r="LK60" s="60"/>
      <c r="LL60" s="60"/>
      <c r="LM60" s="60"/>
      <c r="LN60" s="60"/>
      <c r="LO60" s="60"/>
      <c r="LP60" s="60"/>
      <c r="LQ60" s="60"/>
      <c r="LR60" s="60"/>
      <c r="LS60" s="60"/>
      <c r="LT60" s="60"/>
      <c r="LU60" s="60"/>
      <c r="LV60" s="60"/>
      <c r="LW60" s="60"/>
      <c r="LX60" s="60"/>
      <c r="LY60" s="60"/>
      <c r="LZ60" s="60"/>
      <c r="MA60" s="60"/>
      <c r="MB60" s="60"/>
      <c r="MC60" s="60"/>
      <c r="MD60" s="60"/>
      <c r="ME60" s="60"/>
      <c r="MF60" s="60"/>
      <c r="MG60" s="60"/>
      <c r="MH60" s="60"/>
      <c r="MI60" s="60"/>
      <c r="MJ60" s="60"/>
      <c r="MK60" s="60"/>
      <c r="ML60" s="60"/>
      <c r="MM60" s="60"/>
      <c r="MN60" s="60"/>
      <c r="MO60" s="60"/>
      <c r="MP60" s="60"/>
      <c r="MQ60" s="60"/>
      <c r="MR60" s="60"/>
      <c r="MS60" s="60"/>
      <c r="MT60" s="60"/>
      <c r="MU60" s="60"/>
      <c r="MV60" s="60"/>
      <c r="MW60" s="60"/>
      <c r="MX60" s="60"/>
      <c r="MY60" s="60"/>
      <c r="MZ60" s="60"/>
      <c r="NA60" s="60"/>
      <c r="NB60" s="60"/>
      <c r="NC60" s="60"/>
      <c r="ND60" s="60"/>
      <c r="NE60" s="60"/>
      <c r="NF60" s="60"/>
      <c r="NG60" s="60"/>
      <c r="NH60" s="60"/>
      <c r="NI60" s="60"/>
      <c r="NJ60" s="60"/>
      <c r="NK60" s="60"/>
      <c r="NL60" s="60"/>
      <c r="NM60" s="60"/>
      <c r="NN60" s="60"/>
      <c r="NO60" s="60"/>
      <c r="NP60" s="60"/>
      <c r="NQ60" s="60"/>
      <c r="NR60" s="60"/>
      <c r="NS60" s="60"/>
      <c r="NT60" s="60"/>
      <c r="NU60" s="60"/>
      <c r="NV60" s="60"/>
      <c r="NW60" s="60"/>
      <c r="NX60" s="60"/>
      <c r="NY60" s="60"/>
      <c r="NZ60" s="60"/>
      <c r="OA60" s="60"/>
      <c r="OB60" s="60"/>
      <c r="OC60" s="60"/>
      <c r="OD60" s="60"/>
      <c r="OE60" s="60"/>
      <c r="OF60" s="60"/>
      <c r="OG60" s="60"/>
      <c r="OH60" s="60"/>
      <c r="OI60" s="60"/>
      <c r="OJ60" s="60"/>
      <c r="OK60" s="60"/>
      <c r="OL60" s="60"/>
      <c r="OM60" s="60"/>
      <c r="ON60" s="60"/>
      <c r="OO60" s="60"/>
      <c r="OP60" s="60"/>
      <c r="OQ60" s="60"/>
      <c r="OR60" s="60"/>
      <c r="OS60" s="60"/>
      <c r="OT60" s="60"/>
      <c r="OU60" s="60"/>
      <c r="OV60" s="60"/>
      <c r="OW60" s="60"/>
      <c r="OX60" s="60"/>
      <c r="OY60" s="60"/>
      <c r="OZ60" s="60"/>
      <c r="PA60" s="60"/>
      <c r="PB60" s="60"/>
      <c r="PC60" s="60"/>
      <c r="PD60" s="60"/>
      <c r="PE60" s="60"/>
      <c r="PF60" s="60"/>
      <c r="PG60" s="60"/>
      <c r="PH60" s="60"/>
      <c r="PI60" s="60"/>
      <c r="PJ60" s="60"/>
      <c r="PK60" s="60"/>
      <c r="PL60" s="60"/>
      <c r="PM60" s="60"/>
      <c r="PN60" s="60"/>
      <c r="PO60" s="60"/>
      <c r="PP60" s="60"/>
      <c r="PQ60" s="60"/>
      <c r="PR60" s="60"/>
      <c r="PS60" s="60"/>
      <c r="PT60" s="60"/>
      <c r="PU60" s="60"/>
      <c r="PV60" s="60"/>
      <c r="PW60" s="60"/>
      <c r="PX60" s="60"/>
      <c r="PY60" s="60"/>
      <c r="PZ60" s="60"/>
      <c r="QA60" s="60"/>
      <c r="QB60" s="60"/>
      <c r="QC60" s="60"/>
      <c r="QD60" s="60"/>
      <c r="QE60" s="60"/>
      <c r="QF60" s="60"/>
      <c r="QG60" s="60"/>
      <c r="QH60" s="60"/>
      <c r="QI60" s="60"/>
      <c r="QJ60" s="60"/>
      <c r="QK60" s="60"/>
      <c r="QL60" s="60"/>
      <c r="QM60" s="60"/>
      <c r="QN60" s="60"/>
      <c r="QO60" s="60"/>
      <c r="QP60" s="60"/>
      <c r="QQ60" s="60"/>
      <c r="QR60" s="60"/>
      <c r="QS60" s="60"/>
      <c r="QT60" s="60"/>
      <c r="QU60" s="60"/>
      <c r="QV60" s="60"/>
      <c r="QW60" s="60"/>
      <c r="QX60" s="60"/>
      <c r="QY60" s="60"/>
      <c r="QZ60" s="60"/>
      <c r="RA60" s="60"/>
      <c r="RB60" s="60"/>
      <c r="RC60" s="60"/>
      <c r="RD60" s="60"/>
      <c r="RE60" s="60"/>
      <c r="RF60" s="60"/>
      <c r="RG60" s="60"/>
      <c r="RH60" s="60"/>
      <c r="RI60" s="60"/>
      <c r="RJ60" s="60"/>
      <c r="RK60" s="60"/>
      <c r="RL60" s="60"/>
      <c r="RM60" s="60"/>
      <c r="RN60" s="60"/>
      <c r="RO60" s="60"/>
      <c r="RP60" s="60"/>
      <c r="RQ60" s="60"/>
      <c r="RR60" s="60"/>
      <c r="RS60" s="60"/>
      <c r="RT60" s="60"/>
      <c r="RU60" s="60"/>
      <c r="RV60" s="60"/>
      <c r="RW60" s="60"/>
      <c r="RX60" s="60"/>
      <c r="RY60" s="60"/>
      <c r="RZ60" s="60"/>
      <c r="SA60" s="60"/>
      <c r="SB60" s="60"/>
      <c r="SC60" s="60"/>
      <c r="SD60" s="60"/>
      <c r="SE60" s="60"/>
      <c r="SF60" s="60"/>
      <c r="SG60" s="60"/>
      <c r="SH60" s="60"/>
      <c r="SI60" s="60"/>
      <c r="SJ60" s="60"/>
      <c r="SK60" s="60"/>
      <c r="SL60" s="60"/>
      <c r="SM60" s="60"/>
      <c r="SN60" s="60"/>
      <c r="SO60" s="60"/>
      <c r="SP60" s="60"/>
      <c r="SQ60" s="60"/>
      <c r="SR60" s="60"/>
      <c r="SS60" s="60"/>
      <c r="ST60" s="60"/>
      <c r="SU60" s="60"/>
      <c r="SV60" s="60"/>
      <c r="SW60" s="60"/>
      <c r="SX60" s="60"/>
      <c r="SY60" s="60"/>
      <c r="SZ60" s="60"/>
      <c r="TA60" s="60"/>
      <c r="TB60" s="60"/>
      <c r="TC60" s="60"/>
      <c r="TD60" s="60"/>
      <c r="TE60" s="60"/>
      <c r="TF60" s="60"/>
      <c r="TG60" s="60"/>
      <c r="TH60" s="60"/>
      <c r="TI60" s="60"/>
      <c r="TJ60" s="60"/>
      <c r="TK60" s="60"/>
      <c r="TL60" s="60"/>
      <c r="TM60" s="60"/>
      <c r="TN60" s="60"/>
      <c r="TO60" s="60"/>
      <c r="TP60" s="60"/>
      <c r="TQ60" s="60"/>
      <c r="TR60" s="60"/>
      <c r="TS60" s="60"/>
      <c r="TT60" s="60"/>
      <c r="TU60" s="60"/>
      <c r="TV60" s="60"/>
      <c r="TW60" s="60"/>
      <c r="TX60" s="60"/>
      <c r="TY60" s="60"/>
      <c r="TZ60" s="60"/>
      <c r="UA60" s="60"/>
      <c r="UB60" s="60"/>
      <c r="UC60" s="60"/>
      <c r="UD60" s="60"/>
      <c r="UE60" s="60"/>
      <c r="UF60" s="60"/>
      <c r="UG60" s="60"/>
      <c r="UH60" s="60"/>
      <c r="UI60" s="60"/>
      <c r="UJ60" s="60"/>
      <c r="UK60" s="60"/>
      <c r="UL60" s="60"/>
      <c r="UM60" s="60"/>
      <c r="UN60" s="60"/>
      <c r="UO60" s="60"/>
      <c r="UP60" s="60"/>
      <c r="UQ60" s="60"/>
      <c r="UR60" s="60"/>
      <c r="US60" s="60"/>
      <c r="UT60" s="60"/>
      <c r="UU60" s="60"/>
      <c r="UV60" s="60"/>
      <c r="UW60" s="60"/>
      <c r="UX60" s="60"/>
      <c r="UY60" s="60"/>
      <c r="UZ60" s="60"/>
      <c r="VA60" s="60"/>
      <c r="VB60" s="60"/>
      <c r="VC60" s="60"/>
      <c r="VD60" s="60"/>
      <c r="VE60" s="60"/>
      <c r="VF60" s="60"/>
      <c r="VG60" s="60"/>
      <c r="VH60" s="60"/>
      <c r="VI60" s="60"/>
      <c r="VJ60" s="60"/>
      <c r="VK60" s="60"/>
      <c r="VL60" s="60"/>
      <c r="VM60" s="60"/>
      <c r="VN60" s="60"/>
      <c r="VO60" s="60"/>
      <c r="VP60" s="60"/>
      <c r="VQ60" s="60"/>
      <c r="VR60" s="60"/>
      <c r="VS60" s="60"/>
      <c r="VT60" s="60"/>
      <c r="VU60" s="60"/>
      <c r="VV60" s="60"/>
      <c r="VW60" s="60"/>
      <c r="VX60" s="60"/>
      <c r="VY60" s="60"/>
      <c r="VZ60" s="60"/>
      <c r="WA60" s="60"/>
      <c r="WB60" s="60"/>
      <c r="WC60" s="60"/>
      <c r="WD60" s="60"/>
      <c r="WE60" s="60"/>
      <c r="WF60" s="60"/>
      <c r="WG60" s="60"/>
      <c r="WH60" s="60"/>
      <c r="WI60" s="60"/>
      <c r="WJ60" s="60"/>
      <c r="WK60" s="60"/>
      <c r="WL60" s="60"/>
      <c r="WM60" s="60"/>
      <c r="WN60" s="60"/>
      <c r="WO60" s="60"/>
      <c r="WP60" s="60"/>
      <c r="WQ60" s="60"/>
      <c r="WR60" s="60"/>
      <c r="WS60" s="60"/>
      <c r="WT60" s="60"/>
      <c r="WU60" s="60"/>
      <c r="WV60" s="60"/>
      <c r="WW60" s="60"/>
      <c r="WX60" s="60"/>
      <c r="WY60" s="60"/>
      <c r="WZ60" s="60"/>
      <c r="XA60" s="60"/>
      <c r="XB60" s="60"/>
      <c r="XC60" s="60"/>
      <c r="XD60" s="60"/>
      <c r="XE60" s="60"/>
      <c r="XF60" s="60"/>
      <c r="XG60" s="60"/>
      <c r="XH60" s="60"/>
      <c r="XI60" s="60"/>
      <c r="XJ60" s="60"/>
      <c r="XK60" s="60"/>
      <c r="XL60" s="60"/>
      <c r="XM60" s="60"/>
      <c r="XN60" s="60"/>
      <c r="XO60" s="60"/>
      <c r="XP60" s="60"/>
      <c r="XQ60" s="60"/>
      <c r="XR60" s="60"/>
      <c r="XS60" s="60"/>
      <c r="XT60" s="60"/>
      <c r="XU60" s="60"/>
      <c r="XV60" s="60"/>
      <c r="XW60" s="60"/>
      <c r="XX60" s="60"/>
      <c r="XY60" s="60"/>
      <c r="XZ60" s="60"/>
      <c r="YA60" s="60"/>
      <c r="YB60" s="60"/>
      <c r="YC60" s="60"/>
      <c r="YD60" s="60"/>
      <c r="YE60" s="60"/>
      <c r="YF60" s="60"/>
      <c r="YG60" s="60"/>
      <c r="YH60" s="60"/>
      <c r="YI60" s="60"/>
      <c r="YJ60" s="60"/>
      <c r="YK60" s="60"/>
      <c r="YL60" s="60"/>
      <c r="YM60" s="60"/>
      <c r="YN60" s="60"/>
      <c r="YO60" s="60"/>
      <c r="YP60" s="60"/>
      <c r="YQ60" s="60"/>
      <c r="YR60" s="60"/>
      <c r="YS60" s="60"/>
      <c r="YT60" s="60"/>
      <c r="YU60" s="60"/>
      <c r="YV60" s="60"/>
      <c r="YW60" s="60"/>
      <c r="YX60" s="60"/>
      <c r="YY60" s="60"/>
      <c r="YZ60" s="60"/>
      <c r="ZA60" s="60"/>
      <c r="ZB60" s="60"/>
      <c r="ZC60" s="60"/>
      <c r="ZD60" s="60"/>
      <c r="ZE60" s="60"/>
      <c r="ZF60" s="60"/>
      <c r="ZG60" s="60"/>
      <c r="ZH60" s="60"/>
      <c r="ZI60" s="60"/>
      <c r="ZJ60" s="60"/>
      <c r="ZK60" s="60"/>
      <c r="ZL60" s="60"/>
      <c r="ZM60" s="60"/>
      <c r="ZN60" s="60"/>
      <c r="ZO60" s="60"/>
      <c r="ZP60" s="60"/>
      <c r="ZQ60" s="60"/>
      <c r="ZR60" s="60"/>
      <c r="ZS60" s="60"/>
      <c r="ZT60" s="60"/>
      <c r="ZU60" s="60"/>
      <c r="ZV60" s="60"/>
      <c r="ZW60" s="60"/>
      <c r="ZX60" s="60"/>
      <c r="ZY60" s="60"/>
      <c r="ZZ60" s="60"/>
      <c r="AAA60" s="60"/>
      <c r="AAB60" s="60"/>
      <c r="AAC60" s="60"/>
      <c r="AAD60" s="60"/>
      <c r="AAE60" s="60"/>
      <c r="AAF60" s="60"/>
      <c r="AAG60" s="60"/>
      <c r="AAH60" s="60"/>
      <c r="AAI60" s="60"/>
      <c r="AAJ60" s="60"/>
      <c r="AAK60" s="60"/>
      <c r="AAL60" s="60"/>
      <c r="AAM60" s="60"/>
      <c r="AAN60" s="60"/>
      <c r="AAO60" s="60"/>
      <c r="AAP60" s="60"/>
      <c r="AAQ60" s="60"/>
      <c r="AAR60" s="60"/>
      <c r="AAS60" s="60"/>
      <c r="AAT60" s="60"/>
      <c r="AAU60" s="60"/>
      <c r="AAV60" s="60"/>
      <c r="AAW60" s="60"/>
      <c r="AAX60" s="60"/>
      <c r="AAY60" s="60"/>
      <c r="AAZ60" s="60"/>
      <c r="ABA60" s="60"/>
      <c r="ABB60" s="60"/>
      <c r="ABC60" s="60"/>
      <c r="ABD60" s="60"/>
      <c r="ABE60" s="60"/>
      <c r="ABF60" s="60"/>
      <c r="ABG60" s="60"/>
      <c r="ABH60" s="60"/>
      <c r="ABI60" s="60"/>
      <c r="ABJ60" s="60"/>
      <c r="ABK60" s="60"/>
      <c r="ABL60" s="60"/>
      <c r="ABM60" s="60"/>
      <c r="ABN60" s="60"/>
      <c r="ABO60" s="60"/>
      <c r="ABP60" s="60"/>
      <c r="ABQ60" s="60"/>
      <c r="ABR60" s="60"/>
      <c r="ABS60" s="60"/>
      <c r="ABT60" s="60"/>
      <c r="ABU60" s="60"/>
      <c r="ABV60" s="60"/>
      <c r="ABW60" s="60"/>
      <c r="ABX60" s="60"/>
      <c r="ABY60" s="60"/>
      <c r="ABZ60" s="60"/>
      <c r="ACA60" s="60"/>
      <c r="ACB60" s="60"/>
      <c r="ACC60" s="60"/>
      <c r="ACD60" s="60"/>
      <c r="ACE60" s="60"/>
      <c r="ACF60" s="60"/>
      <c r="ACG60" s="60"/>
      <c r="ACH60" s="60"/>
      <c r="ACI60" s="60"/>
      <c r="ACJ60" s="60"/>
      <c r="ACK60" s="60"/>
      <c r="ACL60" s="60"/>
      <c r="ACM60" s="60"/>
      <c r="ACN60" s="60"/>
      <c r="ACO60" s="60"/>
      <c r="ACP60" s="60"/>
      <c r="ACQ60" s="60"/>
      <c r="ACR60" s="60"/>
      <c r="ACS60" s="60"/>
      <c r="ACT60" s="60"/>
      <c r="ACU60" s="60"/>
      <c r="ACV60" s="60"/>
      <c r="ACW60" s="60"/>
      <c r="ACX60" s="60"/>
      <c r="ACY60" s="60"/>
      <c r="ACZ60" s="60"/>
      <c r="ADA60" s="60"/>
      <c r="ADB60" s="60"/>
      <c r="ADC60" s="60"/>
      <c r="ADD60" s="60"/>
      <c r="ADE60" s="60"/>
      <c r="ADF60" s="60"/>
      <c r="ADG60" s="60"/>
      <c r="ADH60" s="60"/>
      <c r="ADI60" s="60"/>
      <c r="ADJ60" s="60"/>
      <c r="ADK60" s="60"/>
      <c r="ADL60" s="60"/>
      <c r="ADM60" s="60"/>
      <c r="ADN60" s="60"/>
      <c r="ADO60" s="60"/>
      <c r="ADP60" s="60"/>
      <c r="ADQ60" s="60"/>
      <c r="ADR60" s="60"/>
      <c r="ADS60" s="60"/>
      <c r="ADT60" s="60"/>
      <c r="ADU60" s="60"/>
      <c r="ADV60" s="60"/>
      <c r="ADW60" s="60"/>
      <c r="ADX60" s="60"/>
      <c r="ADY60" s="60"/>
      <c r="ADZ60" s="60"/>
      <c r="AEA60" s="60"/>
      <c r="AEB60" s="60"/>
      <c r="AEC60" s="60"/>
      <c r="AED60" s="60"/>
      <c r="AEE60" s="60"/>
      <c r="AEF60" s="60"/>
      <c r="AEG60" s="60"/>
      <c r="AEH60" s="60"/>
      <c r="AEI60" s="60"/>
      <c r="AEJ60" s="60"/>
      <c r="AEK60" s="60"/>
      <c r="AEL60" s="60"/>
      <c r="AEM60" s="60"/>
      <c r="AEN60" s="60"/>
      <c r="AEO60" s="60"/>
      <c r="AEP60" s="60"/>
      <c r="AEQ60" s="60"/>
      <c r="AER60" s="60"/>
      <c r="AES60" s="60"/>
      <c r="AET60" s="60"/>
      <c r="AEU60" s="60"/>
      <c r="AEV60" s="60"/>
      <c r="AEW60" s="60"/>
      <c r="AEX60" s="60"/>
      <c r="AEY60" s="60"/>
      <c r="AEZ60" s="60"/>
      <c r="AFA60" s="60"/>
      <c r="AFB60" s="60"/>
      <c r="AFC60" s="60"/>
      <c r="AFD60" s="60"/>
      <c r="AFE60" s="60"/>
      <c r="AFF60" s="60"/>
      <c r="AFG60" s="60"/>
      <c r="AFH60" s="60"/>
      <c r="AFI60" s="60"/>
      <c r="AFJ60" s="60"/>
      <c r="AFK60" s="60"/>
      <c r="AFL60" s="60"/>
      <c r="AFM60" s="60"/>
      <c r="AFN60" s="60"/>
      <c r="AFO60" s="60"/>
      <c r="AFP60" s="60"/>
      <c r="AFQ60" s="60"/>
      <c r="AFR60" s="60"/>
      <c r="AFS60" s="60"/>
      <c r="AFT60" s="60"/>
      <c r="AFU60" s="60"/>
      <c r="AFV60" s="60"/>
      <c r="AFW60" s="60"/>
      <c r="AFX60" s="60"/>
      <c r="AFY60" s="60"/>
      <c r="AFZ60" s="60"/>
      <c r="AGA60" s="60"/>
      <c r="AGB60" s="60"/>
      <c r="AGC60" s="60"/>
      <c r="AGD60" s="60"/>
      <c r="AGE60" s="60"/>
      <c r="AGF60" s="60"/>
      <c r="AGG60" s="60"/>
      <c r="AGH60" s="60"/>
      <c r="AGI60" s="60"/>
      <c r="AGJ60" s="60"/>
      <c r="AGK60" s="60"/>
      <c r="AGL60" s="60"/>
      <c r="AGM60" s="60"/>
      <c r="AGN60" s="60"/>
      <c r="AGO60" s="60"/>
      <c r="AGP60" s="60"/>
      <c r="AGQ60" s="60"/>
      <c r="AGR60" s="60"/>
      <c r="AGS60" s="60"/>
      <c r="AGT60" s="60"/>
      <c r="AGU60" s="60"/>
      <c r="AGV60" s="60"/>
      <c r="AGW60" s="60"/>
      <c r="AGX60" s="60"/>
      <c r="AGY60" s="60"/>
      <c r="AGZ60" s="60"/>
      <c r="AHA60" s="60"/>
      <c r="AHB60" s="60"/>
      <c r="AHC60" s="60"/>
      <c r="AHD60" s="60"/>
      <c r="AHE60" s="60"/>
      <c r="AHF60" s="60"/>
      <c r="AHG60" s="60"/>
      <c r="AHH60" s="60"/>
      <c r="AHI60" s="60"/>
      <c r="AHJ60" s="60"/>
      <c r="AHK60" s="60"/>
      <c r="AHL60" s="60"/>
      <c r="AHM60" s="60"/>
      <c r="AHN60" s="60"/>
      <c r="AHO60" s="60"/>
      <c r="AHP60" s="60"/>
      <c r="AHQ60" s="60"/>
      <c r="AHR60" s="60"/>
      <c r="AHS60" s="60"/>
      <c r="AHT60" s="60"/>
      <c r="AHU60" s="60"/>
      <c r="AHV60" s="60"/>
      <c r="AHW60" s="60"/>
      <c r="AHX60" s="60"/>
      <c r="AHY60" s="60"/>
      <c r="AHZ60" s="60"/>
      <c r="AIA60" s="60"/>
      <c r="AIB60" s="60"/>
      <c r="AIC60" s="60"/>
      <c r="AID60" s="60"/>
      <c r="AIE60" s="60"/>
      <c r="AIF60" s="60"/>
      <c r="AIG60" s="60"/>
      <c r="AIH60" s="60"/>
      <c r="AII60" s="60"/>
      <c r="AIJ60" s="60"/>
      <c r="AIK60" s="60"/>
      <c r="AIL60" s="60"/>
      <c r="AIM60" s="60"/>
      <c r="AIN60" s="60"/>
      <c r="AIO60" s="60"/>
      <c r="AIP60" s="60"/>
      <c r="AIQ60" s="60"/>
      <c r="AIR60" s="60"/>
      <c r="AIS60" s="60"/>
      <c r="AIT60" s="60"/>
      <c r="AIU60" s="60"/>
      <c r="AIV60" s="60"/>
      <c r="AIW60" s="60"/>
      <c r="AIX60" s="60"/>
      <c r="AIY60" s="60"/>
      <c r="AIZ60" s="60"/>
      <c r="AJA60" s="60"/>
      <c r="AJB60" s="60"/>
      <c r="AJC60" s="60"/>
      <c r="AJD60" s="60"/>
      <c r="AJE60" s="60"/>
      <c r="AJF60" s="60"/>
      <c r="AJG60" s="60"/>
      <c r="AJH60" s="60"/>
      <c r="AJI60" s="60"/>
      <c r="AJJ60" s="60"/>
      <c r="AJK60" s="60"/>
      <c r="AJL60" s="60"/>
      <c r="AJM60" s="60"/>
      <c r="AJN60" s="60"/>
      <c r="AJO60" s="60"/>
      <c r="AJP60" s="60"/>
      <c r="AJQ60" s="60"/>
      <c r="AJR60" s="60"/>
      <c r="AJS60" s="60"/>
      <c r="AJT60" s="60"/>
      <c r="AJU60" s="60"/>
      <c r="AJV60" s="60"/>
      <c r="AJW60" s="60"/>
      <c r="AJX60" s="60"/>
      <c r="AJY60" s="60"/>
      <c r="AJZ60" s="60"/>
      <c r="AKA60" s="60"/>
      <c r="AKB60" s="60"/>
      <c r="AKC60" s="60"/>
      <c r="AKD60" s="60"/>
      <c r="AKE60" s="60"/>
      <c r="AKF60" s="60"/>
      <c r="AKG60" s="60"/>
      <c r="AKH60" s="60"/>
      <c r="AKI60" s="60"/>
      <c r="AKJ60" s="60"/>
      <c r="AKK60" s="60"/>
      <c r="AKL60" s="60"/>
      <c r="AKM60" s="60"/>
      <c r="AKN60" s="60"/>
      <c r="AKO60" s="60"/>
      <c r="AKP60" s="60"/>
      <c r="AKQ60" s="60"/>
      <c r="AKR60" s="60"/>
      <c r="AKS60" s="60"/>
      <c r="AKT60" s="60"/>
      <c r="AKU60" s="60"/>
      <c r="AKV60" s="60"/>
      <c r="AKW60" s="60"/>
      <c r="AKX60" s="60"/>
      <c r="AKY60" s="60"/>
      <c r="AKZ60" s="60"/>
      <c r="ALA60" s="60"/>
      <c r="ALB60" s="60"/>
      <c r="ALC60" s="60"/>
      <c r="ALD60" s="60"/>
      <c r="ALE60" s="60"/>
      <c r="ALF60" s="60"/>
      <c r="ALG60" s="60"/>
      <c r="ALH60" s="60"/>
      <c r="ALI60" s="60"/>
      <c r="ALJ60" s="60"/>
      <c r="ALK60" s="60"/>
      <c r="ALL60" s="60"/>
      <c r="ALM60" s="60"/>
      <c r="ALN60" s="60"/>
      <c r="ALO60" s="60"/>
      <c r="ALP60" s="60"/>
      <c r="ALQ60" s="60"/>
      <c r="ALR60" s="60"/>
      <c r="ALS60" s="60"/>
      <c r="ALT60" s="60"/>
      <c r="ALU60" s="60"/>
      <c r="ALV60" s="60"/>
      <c r="ALW60" s="60"/>
      <c r="ALX60" s="60"/>
      <c r="ALY60" s="60"/>
      <c r="ALZ60" s="60"/>
      <c r="AMA60" s="60"/>
      <c r="AMB60" s="60"/>
      <c r="AMC60" s="60"/>
      <c r="AMD60" s="60"/>
      <c r="AME60" s="60"/>
      <c r="AMF60" s="60"/>
      <c r="AMG60" s="60"/>
      <c r="AMH60" s="60"/>
      <c r="AMI60" s="60"/>
      <c r="AMJ60" s="60"/>
      <c r="AMK60" s="46"/>
    </row>
    <row r="61" spans="1:1025">
      <c r="A61" s="28" t="s">
        <v>15</v>
      </c>
      <c r="B61" s="118" t="s">
        <v>140</v>
      </c>
      <c r="C61" s="61"/>
      <c r="D61" s="55" t="s">
        <v>141</v>
      </c>
      <c r="E61" s="56">
        <v>2</v>
      </c>
      <c r="F61" s="91" t="b">
        <v>0</v>
      </c>
      <c r="G61" s="57">
        <v>0.9</v>
      </c>
      <c r="H61" s="57">
        <v>1.9</v>
      </c>
      <c r="I61" s="56" t="s">
        <v>63</v>
      </c>
      <c r="J61" s="56" t="s">
        <v>78</v>
      </c>
      <c r="K61" s="57">
        <v>0.9</v>
      </c>
      <c r="L61" s="57">
        <v>1.9</v>
      </c>
      <c r="M61" s="58">
        <f t="shared" ref="M61:M62" si="10">L61*K61*E61</f>
        <v>3.42</v>
      </c>
      <c r="N61" s="34"/>
      <c r="O61" s="74"/>
      <c r="P61" s="58"/>
      <c r="Q61" s="1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  <c r="IU61" s="46"/>
      <c r="IV61" s="46"/>
      <c r="IW61" s="46"/>
      <c r="IX61" s="46"/>
      <c r="IY61" s="46"/>
      <c r="IZ61" s="46"/>
      <c r="JA61" s="46"/>
      <c r="JB61" s="46"/>
      <c r="JC61" s="46"/>
      <c r="JD61" s="46"/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46"/>
      <c r="KA61" s="46"/>
      <c r="KB61" s="46"/>
      <c r="KC61" s="46"/>
      <c r="KD61" s="46"/>
      <c r="KE61" s="46"/>
      <c r="KF61" s="46"/>
      <c r="KG61" s="46"/>
      <c r="KH61" s="46"/>
      <c r="KI61" s="46"/>
      <c r="KJ61" s="46"/>
      <c r="KK61" s="46"/>
      <c r="KL61" s="46"/>
      <c r="KM61" s="46"/>
      <c r="KN61" s="46"/>
      <c r="KO61" s="46"/>
      <c r="KP61" s="46"/>
      <c r="KQ61" s="46"/>
      <c r="KR61" s="46"/>
      <c r="KS61" s="46"/>
      <c r="KT61" s="46"/>
      <c r="KU61" s="46"/>
      <c r="KV61" s="46"/>
      <c r="KW61" s="46"/>
      <c r="KX61" s="46"/>
      <c r="KY61" s="46"/>
      <c r="KZ61" s="46"/>
      <c r="LA61" s="46"/>
      <c r="LB61" s="46"/>
      <c r="LC61" s="46"/>
      <c r="LD61" s="46"/>
      <c r="LE61" s="46"/>
      <c r="LF61" s="46"/>
      <c r="LG61" s="46"/>
      <c r="LH61" s="46"/>
      <c r="LI61" s="46"/>
      <c r="LJ61" s="46"/>
      <c r="LK61" s="46"/>
      <c r="LL61" s="46"/>
      <c r="LM61" s="46"/>
      <c r="LN61" s="46"/>
      <c r="LO61" s="46"/>
      <c r="LP61" s="46"/>
      <c r="LQ61" s="46"/>
      <c r="LR61" s="46"/>
      <c r="LS61" s="46"/>
      <c r="LT61" s="46"/>
      <c r="LU61" s="46"/>
      <c r="LV61" s="46"/>
      <c r="LW61" s="46"/>
      <c r="LX61" s="46"/>
      <c r="LY61" s="46"/>
      <c r="LZ61" s="46"/>
      <c r="MA61" s="46"/>
      <c r="MB61" s="46"/>
      <c r="MC61" s="46"/>
      <c r="MD61" s="46"/>
      <c r="ME61" s="46"/>
      <c r="MF61" s="46"/>
      <c r="MG61" s="46"/>
      <c r="MH61" s="46"/>
      <c r="MI61" s="46"/>
      <c r="MJ61" s="46"/>
      <c r="MK61" s="46"/>
      <c r="ML61" s="46"/>
      <c r="MM61" s="46"/>
      <c r="MN61" s="46"/>
      <c r="MO61" s="46"/>
      <c r="MP61" s="46"/>
      <c r="MQ61" s="46"/>
      <c r="MR61" s="46"/>
      <c r="MS61" s="46"/>
      <c r="MT61" s="46"/>
      <c r="MU61" s="46"/>
      <c r="MV61" s="46"/>
      <c r="MW61" s="46"/>
      <c r="MX61" s="46"/>
      <c r="MY61" s="46"/>
      <c r="MZ61" s="46"/>
      <c r="NA61" s="46"/>
      <c r="NB61" s="46"/>
      <c r="NC61" s="46"/>
      <c r="ND61" s="46"/>
      <c r="NE61" s="46"/>
      <c r="NF61" s="46"/>
      <c r="NG61" s="46"/>
      <c r="NH61" s="46"/>
      <c r="NI61" s="46"/>
      <c r="NJ61" s="46"/>
      <c r="NK61" s="46"/>
      <c r="NL61" s="46"/>
      <c r="NM61" s="46"/>
      <c r="NN61" s="46"/>
      <c r="NO61" s="46"/>
      <c r="NP61" s="46"/>
      <c r="NQ61" s="46"/>
      <c r="NR61" s="46"/>
      <c r="NS61" s="46"/>
      <c r="NT61" s="46"/>
      <c r="NU61" s="46"/>
      <c r="NV61" s="46"/>
      <c r="NW61" s="46"/>
      <c r="NX61" s="46"/>
      <c r="NY61" s="46"/>
      <c r="NZ61" s="46"/>
      <c r="OA61" s="46"/>
      <c r="OB61" s="46"/>
      <c r="OC61" s="46"/>
      <c r="OD61" s="46"/>
      <c r="OE61" s="46"/>
      <c r="OF61" s="46"/>
      <c r="OG61" s="46"/>
      <c r="OH61" s="46"/>
      <c r="OI61" s="46"/>
      <c r="OJ61" s="46"/>
      <c r="OK61" s="46"/>
      <c r="OL61" s="46"/>
      <c r="OM61" s="46"/>
      <c r="ON61" s="46"/>
      <c r="OO61" s="46"/>
      <c r="OP61" s="46"/>
      <c r="OQ61" s="46"/>
      <c r="OR61" s="46"/>
      <c r="OS61" s="46"/>
      <c r="OT61" s="46"/>
      <c r="OU61" s="46"/>
      <c r="OV61" s="46"/>
      <c r="OW61" s="46"/>
      <c r="OX61" s="46"/>
      <c r="OY61" s="46"/>
      <c r="OZ61" s="46"/>
      <c r="PA61" s="46"/>
      <c r="PB61" s="46"/>
      <c r="PC61" s="46"/>
      <c r="PD61" s="46"/>
      <c r="PE61" s="46"/>
      <c r="PF61" s="46"/>
      <c r="PG61" s="46"/>
      <c r="PH61" s="46"/>
      <c r="PI61" s="46"/>
      <c r="PJ61" s="46"/>
      <c r="PK61" s="46"/>
      <c r="PL61" s="46"/>
      <c r="PM61" s="46"/>
      <c r="PN61" s="46"/>
      <c r="PO61" s="46"/>
      <c r="PP61" s="46"/>
      <c r="PQ61" s="46"/>
      <c r="PR61" s="46"/>
      <c r="PS61" s="46"/>
      <c r="PT61" s="46"/>
      <c r="PU61" s="46"/>
      <c r="PV61" s="46"/>
      <c r="PW61" s="46"/>
      <c r="PX61" s="46"/>
      <c r="PY61" s="46"/>
      <c r="PZ61" s="46"/>
      <c r="QA61" s="46"/>
      <c r="QB61" s="46"/>
      <c r="QC61" s="46"/>
      <c r="QD61" s="46"/>
      <c r="QE61" s="46"/>
      <c r="QF61" s="46"/>
      <c r="QG61" s="46"/>
      <c r="QH61" s="46"/>
      <c r="QI61" s="46"/>
      <c r="QJ61" s="46"/>
      <c r="QK61" s="46"/>
      <c r="QL61" s="46"/>
      <c r="QM61" s="46"/>
      <c r="QN61" s="46"/>
      <c r="QO61" s="46"/>
      <c r="QP61" s="46"/>
      <c r="QQ61" s="46"/>
      <c r="QR61" s="46"/>
      <c r="QS61" s="46"/>
      <c r="QT61" s="46"/>
      <c r="QU61" s="46"/>
      <c r="QV61" s="46"/>
      <c r="QW61" s="46"/>
      <c r="QX61" s="46"/>
      <c r="QY61" s="46"/>
      <c r="QZ61" s="46"/>
      <c r="RA61" s="46"/>
      <c r="RB61" s="46"/>
      <c r="RC61" s="46"/>
      <c r="RD61" s="46"/>
      <c r="RE61" s="46"/>
      <c r="RF61" s="46"/>
      <c r="RG61" s="46"/>
      <c r="RH61" s="46"/>
      <c r="RI61" s="46"/>
      <c r="RJ61" s="46"/>
      <c r="RK61" s="46"/>
      <c r="RL61" s="46"/>
      <c r="RM61" s="46"/>
      <c r="RN61" s="46"/>
      <c r="RO61" s="46"/>
      <c r="RP61" s="46"/>
      <c r="RQ61" s="46"/>
      <c r="RR61" s="46"/>
      <c r="RS61" s="46"/>
      <c r="RT61" s="46"/>
      <c r="RU61" s="46"/>
      <c r="RV61" s="46"/>
      <c r="RW61" s="46"/>
      <c r="RX61" s="46"/>
      <c r="RY61" s="46"/>
      <c r="RZ61" s="46"/>
      <c r="SA61" s="46"/>
      <c r="SB61" s="46"/>
      <c r="SC61" s="46"/>
      <c r="SD61" s="46"/>
      <c r="SE61" s="46"/>
      <c r="SF61" s="46"/>
      <c r="SG61" s="46"/>
      <c r="SH61" s="46"/>
      <c r="SI61" s="46"/>
      <c r="SJ61" s="46"/>
      <c r="SK61" s="46"/>
      <c r="SL61" s="46"/>
      <c r="SM61" s="46"/>
      <c r="SN61" s="46"/>
      <c r="SO61" s="46"/>
      <c r="SP61" s="46"/>
      <c r="SQ61" s="46"/>
      <c r="SR61" s="46"/>
      <c r="SS61" s="46"/>
      <c r="ST61" s="46"/>
      <c r="SU61" s="46"/>
      <c r="SV61" s="46"/>
      <c r="SW61" s="46"/>
      <c r="SX61" s="46"/>
      <c r="SY61" s="46"/>
      <c r="SZ61" s="46"/>
      <c r="TA61" s="46"/>
      <c r="TB61" s="46"/>
      <c r="TC61" s="46"/>
      <c r="TD61" s="46"/>
      <c r="TE61" s="46"/>
      <c r="TF61" s="46"/>
      <c r="TG61" s="46"/>
      <c r="TH61" s="46"/>
      <c r="TI61" s="46"/>
      <c r="TJ61" s="46"/>
      <c r="TK61" s="46"/>
      <c r="TL61" s="46"/>
      <c r="TM61" s="46"/>
      <c r="TN61" s="46"/>
      <c r="TO61" s="46"/>
      <c r="TP61" s="46"/>
      <c r="TQ61" s="46"/>
      <c r="TR61" s="46"/>
      <c r="TS61" s="46"/>
      <c r="TT61" s="46"/>
      <c r="TU61" s="46"/>
      <c r="TV61" s="46"/>
      <c r="TW61" s="46"/>
      <c r="TX61" s="46"/>
      <c r="TY61" s="46"/>
      <c r="TZ61" s="46"/>
      <c r="UA61" s="46"/>
      <c r="UB61" s="46"/>
      <c r="UC61" s="46"/>
      <c r="UD61" s="46"/>
      <c r="UE61" s="46"/>
      <c r="UF61" s="46"/>
      <c r="UG61" s="46"/>
      <c r="UH61" s="46"/>
      <c r="UI61" s="46"/>
      <c r="UJ61" s="46"/>
      <c r="UK61" s="46"/>
      <c r="UL61" s="46"/>
      <c r="UM61" s="46"/>
      <c r="UN61" s="46"/>
      <c r="UO61" s="46"/>
      <c r="UP61" s="46"/>
      <c r="UQ61" s="46"/>
      <c r="UR61" s="46"/>
      <c r="US61" s="46"/>
      <c r="UT61" s="46"/>
      <c r="UU61" s="46"/>
      <c r="UV61" s="46"/>
      <c r="UW61" s="46"/>
      <c r="UX61" s="46"/>
      <c r="UY61" s="46"/>
      <c r="UZ61" s="46"/>
      <c r="VA61" s="46"/>
      <c r="VB61" s="46"/>
      <c r="VC61" s="46"/>
      <c r="VD61" s="46"/>
      <c r="VE61" s="46"/>
      <c r="VF61" s="46"/>
      <c r="VG61" s="46"/>
      <c r="VH61" s="46"/>
      <c r="VI61" s="46"/>
      <c r="VJ61" s="46"/>
      <c r="VK61" s="46"/>
      <c r="VL61" s="46"/>
      <c r="VM61" s="46"/>
      <c r="VN61" s="46"/>
      <c r="VO61" s="46"/>
      <c r="VP61" s="46"/>
      <c r="VQ61" s="46"/>
      <c r="VR61" s="46"/>
      <c r="VS61" s="46"/>
      <c r="VT61" s="46"/>
      <c r="VU61" s="46"/>
      <c r="VV61" s="46"/>
      <c r="VW61" s="46"/>
      <c r="VX61" s="46"/>
      <c r="VY61" s="46"/>
      <c r="VZ61" s="46"/>
      <c r="WA61" s="46"/>
      <c r="WB61" s="46"/>
      <c r="WC61" s="46"/>
      <c r="WD61" s="46"/>
      <c r="WE61" s="46"/>
      <c r="WF61" s="46"/>
      <c r="WG61" s="46"/>
      <c r="WH61" s="46"/>
      <c r="WI61" s="46"/>
      <c r="WJ61" s="46"/>
      <c r="WK61" s="46"/>
      <c r="WL61" s="46"/>
      <c r="WM61" s="46"/>
      <c r="WN61" s="46"/>
      <c r="WO61" s="46"/>
      <c r="WP61" s="46"/>
      <c r="WQ61" s="46"/>
      <c r="WR61" s="46"/>
      <c r="WS61" s="46"/>
      <c r="WT61" s="46"/>
      <c r="WU61" s="46"/>
      <c r="WV61" s="46"/>
      <c r="WW61" s="46"/>
      <c r="WX61" s="46"/>
      <c r="WY61" s="46"/>
      <c r="WZ61" s="46"/>
      <c r="XA61" s="46"/>
      <c r="XB61" s="46"/>
      <c r="XC61" s="46"/>
      <c r="XD61" s="46"/>
      <c r="XE61" s="46"/>
      <c r="XF61" s="46"/>
      <c r="XG61" s="46"/>
      <c r="XH61" s="46"/>
      <c r="XI61" s="46"/>
      <c r="XJ61" s="46"/>
      <c r="XK61" s="46"/>
      <c r="XL61" s="46"/>
      <c r="XM61" s="46"/>
      <c r="XN61" s="46"/>
      <c r="XO61" s="46"/>
      <c r="XP61" s="46"/>
      <c r="XQ61" s="46"/>
      <c r="XR61" s="46"/>
      <c r="XS61" s="46"/>
      <c r="XT61" s="46"/>
      <c r="XU61" s="46"/>
      <c r="XV61" s="46"/>
      <c r="XW61" s="46"/>
      <c r="XX61" s="46"/>
      <c r="XY61" s="46"/>
      <c r="XZ61" s="46"/>
      <c r="YA61" s="46"/>
      <c r="YB61" s="46"/>
      <c r="YC61" s="46"/>
      <c r="YD61" s="46"/>
      <c r="YE61" s="46"/>
      <c r="YF61" s="46"/>
      <c r="YG61" s="46"/>
      <c r="YH61" s="46"/>
      <c r="YI61" s="46"/>
      <c r="YJ61" s="46"/>
      <c r="YK61" s="46"/>
      <c r="YL61" s="46"/>
      <c r="YM61" s="46"/>
      <c r="YN61" s="46"/>
      <c r="YO61" s="46"/>
      <c r="YP61" s="46"/>
      <c r="YQ61" s="46"/>
      <c r="YR61" s="46"/>
      <c r="YS61" s="46"/>
      <c r="YT61" s="46"/>
      <c r="YU61" s="46"/>
      <c r="YV61" s="46"/>
      <c r="YW61" s="46"/>
      <c r="YX61" s="46"/>
      <c r="YY61" s="46"/>
      <c r="YZ61" s="46"/>
      <c r="ZA61" s="46"/>
      <c r="ZB61" s="46"/>
      <c r="ZC61" s="46"/>
      <c r="ZD61" s="46"/>
      <c r="ZE61" s="46"/>
      <c r="ZF61" s="46"/>
      <c r="ZG61" s="46"/>
      <c r="ZH61" s="46"/>
      <c r="ZI61" s="46"/>
      <c r="ZJ61" s="46"/>
      <c r="ZK61" s="46"/>
      <c r="ZL61" s="46"/>
      <c r="ZM61" s="46"/>
      <c r="ZN61" s="46"/>
      <c r="ZO61" s="46"/>
      <c r="ZP61" s="46"/>
      <c r="ZQ61" s="46"/>
      <c r="ZR61" s="46"/>
      <c r="ZS61" s="46"/>
      <c r="ZT61" s="46"/>
      <c r="ZU61" s="46"/>
      <c r="ZV61" s="46"/>
      <c r="ZW61" s="46"/>
      <c r="ZX61" s="46"/>
      <c r="ZY61" s="46"/>
      <c r="ZZ61" s="46"/>
      <c r="AAA61" s="46"/>
      <c r="AAB61" s="46"/>
      <c r="AAC61" s="46"/>
      <c r="AAD61" s="46"/>
      <c r="AAE61" s="46"/>
      <c r="AAF61" s="46"/>
      <c r="AAG61" s="46"/>
      <c r="AAH61" s="46"/>
      <c r="AAI61" s="46"/>
      <c r="AAJ61" s="46"/>
      <c r="AAK61" s="46"/>
      <c r="AAL61" s="46"/>
      <c r="AAM61" s="46"/>
      <c r="AAN61" s="46"/>
      <c r="AAO61" s="46"/>
      <c r="AAP61" s="46"/>
      <c r="AAQ61" s="46"/>
      <c r="AAR61" s="46"/>
      <c r="AAS61" s="46"/>
      <c r="AAT61" s="46"/>
      <c r="AAU61" s="46"/>
      <c r="AAV61" s="46"/>
      <c r="AAW61" s="46"/>
      <c r="AAX61" s="46"/>
      <c r="AAY61" s="46"/>
      <c r="AAZ61" s="46"/>
      <c r="ABA61" s="46"/>
      <c r="ABB61" s="46"/>
      <c r="ABC61" s="46"/>
      <c r="ABD61" s="46"/>
      <c r="ABE61" s="46"/>
      <c r="ABF61" s="46"/>
      <c r="ABG61" s="46"/>
      <c r="ABH61" s="46"/>
      <c r="ABI61" s="46"/>
      <c r="ABJ61" s="46"/>
      <c r="ABK61" s="46"/>
      <c r="ABL61" s="46"/>
      <c r="ABM61" s="46"/>
      <c r="ABN61" s="46"/>
      <c r="ABO61" s="46"/>
      <c r="ABP61" s="46"/>
      <c r="ABQ61" s="46"/>
      <c r="ABR61" s="46"/>
      <c r="ABS61" s="46"/>
      <c r="ABT61" s="46"/>
      <c r="ABU61" s="46"/>
      <c r="ABV61" s="46"/>
      <c r="ABW61" s="46"/>
      <c r="ABX61" s="46"/>
      <c r="ABY61" s="46"/>
      <c r="ABZ61" s="46"/>
      <c r="ACA61" s="46"/>
      <c r="ACB61" s="46"/>
      <c r="ACC61" s="46"/>
      <c r="ACD61" s="46"/>
      <c r="ACE61" s="46"/>
      <c r="ACF61" s="46"/>
      <c r="ACG61" s="46"/>
      <c r="ACH61" s="46"/>
      <c r="ACI61" s="46"/>
      <c r="ACJ61" s="46"/>
      <c r="ACK61" s="46"/>
      <c r="ACL61" s="46"/>
      <c r="ACM61" s="46"/>
      <c r="ACN61" s="46"/>
      <c r="ACO61" s="46"/>
      <c r="ACP61" s="46"/>
      <c r="ACQ61" s="46"/>
      <c r="ACR61" s="46"/>
      <c r="ACS61" s="46"/>
      <c r="ACT61" s="46"/>
      <c r="ACU61" s="46"/>
      <c r="ACV61" s="46"/>
      <c r="ACW61" s="46"/>
      <c r="ACX61" s="46"/>
      <c r="ACY61" s="46"/>
      <c r="ACZ61" s="46"/>
      <c r="ADA61" s="46"/>
      <c r="ADB61" s="46"/>
      <c r="ADC61" s="46"/>
      <c r="ADD61" s="46"/>
      <c r="ADE61" s="46"/>
      <c r="ADF61" s="46"/>
      <c r="ADG61" s="46"/>
      <c r="ADH61" s="46"/>
      <c r="ADI61" s="46"/>
      <c r="ADJ61" s="46"/>
      <c r="ADK61" s="46"/>
      <c r="ADL61" s="46"/>
      <c r="ADM61" s="46"/>
      <c r="ADN61" s="46"/>
      <c r="ADO61" s="46"/>
      <c r="ADP61" s="46"/>
      <c r="ADQ61" s="46"/>
      <c r="ADR61" s="46"/>
      <c r="ADS61" s="46"/>
      <c r="ADT61" s="46"/>
      <c r="ADU61" s="46"/>
      <c r="ADV61" s="46"/>
      <c r="ADW61" s="46"/>
      <c r="ADX61" s="46"/>
      <c r="ADY61" s="46"/>
      <c r="ADZ61" s="46"/>
      <c r="AEA61" s="46"/>
      <c r="AEB61" s="46"/>
      <c r="AEC61" s="46"/>
      <c r="AED61" s="46"/>
      <c r="AEE61" s="46"/>
      <c r="AEF61" s="46"/>
      <c r="AEG61" s="46"/>
      <c r="AEH61" s="46"/>
      <c r="AEI61" s="46"/>
      <c r="AEJ61" s="46"/>
      <c r="AEK61" s="46"/>
      <c r="AEL61" s="46"/>
      <c r="AEM61" s="46"/>
      <c r="AEN61" s="46"/>
      <c r="AEO61" s="46"/>
      <c r="AEP61" s="46"/>
      <c r="AEQ61" s="46"/>
      <c r="AER61" s="46"/>
      <c r="AES61" s="46"/>
      <c r="AET61" s="46"/>
      <c r="AEU61" s="46"/>
      <c r="AEV61" s="46"/>
      <c r="AEW61" s="46"/>
      <c r="AEX61" s="46"/>
      <c r="AEY61" s="46"/>
      <c r="AEZ61" s="46"/>
      <c r="AFA61" s="46"/>
      <c r="AFB61" s="46"/>
      <c r="AFC61" s="46"/>
      <c r="AFD61" s="46"/>
      <c r="AFE61" s="46"/>
      <c r="AFF61" s="46"/>
      <c r="AFG61" s="46"/>
      <c r="AFH61" s="46"/>
      <c r="AFI61" s="46"/>
      <c r="AFJ61" s="46"/>
      <c r="AFK61" s="46"/>
      <c r="AFL61" s="46"/>
      <c r="AFM61" s="46"/>
      <c r="AFN61" s="46"/>
      <c r="AFO61" s="46"/>
      <c r="AFP61" s="46"/>
      <c r="AFQ61" s="46"/>
      <c r="AFR61" s="46"/>
      <c r="AFS61" s="46"/>
      <c r="AFT61" s="46"/>
      <c r="AFU61" s="46"/>
      <c r="AFV61" s="46"/>
      <c r="AFW61" s="46"/>
      <c r="AFX61" s="46"/>
      <c r="AFY61" s="46"/>
      <c r="AFZ61" s="46"/>
      <c r="AGA61" s="46"/>
      <c r="AGB61" s="46"/>
      <c r="AGC61" s="46"/>
      <c r="AGD61" s="46"/>
      <c r="AGE61" s="46"/>
      <c r="AGF61" s="46"/>
      <c r="AGG61" s="46"/>
      <c r="AGH61" s="46"/>
      <c r="AGI61" s="46"/>
      <c r="AGJ61" s="46"/>
      <c r="AGK61" s="46"/>
      <c r="AGL61" s="46"/>
      <c r="AGM61" s="46"/>
      <c r="AGN61" s="46"/>
      <c r="AGO61" s="46"/>
      <c r="AGP61" s="46"/>
      <c r="AGQ61" s="46"/>
      <c r="AGR61" s="46"/>
      <c r="AGS61" s="46"/>
      <c r="AGT61" s="46"/>
      <c r="AGU61" s="46"/>
      <c r="AGV61" s="46"/>
      <c r="AGW61" s="46"/>
      <c r="AGX61" s="46"/>
      <c r="AGY61" s="46"/>
      <c r="AGZ61" s="46"/>
      <c r="AHA61" s="46"/>
      <c r="AHB61" s="46"/>
      <c r="AHC61" s="46"/>
      <c r="AHD61" s="46"/>
      <c r="AHE61" s="46"/>
      <c r="AHF61" s="46"/>
      <c r="AHG61" s="46"/>
      <c r="AHH61" s="46"/>
      <c r="AHI61" s="46"/>
      <c r="AHJ61" s="46"/>
      <c r="AHK61" s="46"/>
      <c r="AHL61" s="46"/>
      <c r="AHM61" s="46"/>
      <c r="AHN61" s="46"/>
      <c r="AHO61" s="46"/>
      <c r="AHP61" s="46"/>
      <c r="AHQ61" s="46"/>
      <c r="AHR61" s="46"/>
      <c r="AHS61" s="46"/>
      <c r="AHT61" s="46"/>
      <c r="AHU61" s="46"/>
      <c r="AHV61" s="46"/>
      <c r="AHW61" s="46"/>
      <c r="AHX61" s="46"/>
      <c r="AHY61" s="46"/>
      <c r="AHZ61" s="46"/>
      <c r="AIA61" s="46"/>
      <c r="AIB61" s="46"/>
      <c r="AIC61" s="46"/>
      <c r="AID61" s="46"/>
      <c r="AIE61" s="46"/>
      <c r="AIF61" s="46"/>
      <c r="AIG61" s="46"/>
      <c r="AIH61" s="46"/>
      <c r="AII61" s="46"/>
      <c r="AIJ61" s="46"/>
      <c r="AIK61" s="46"/>
      <c r="AIL61" s="46"/>
      <c r="AIM61" s="46"/>
      <c r="AIN61" s="46"/>
      <c r="AIO61" s="46"/>
      <c r="AIP61" s="46"/>
      <c r="AIQ61" s="46"/>
      <c r="AIR61" s="46"/>
      <c r="AIS61" s="46"/>
      <c r="AIT61" s="46"/>
      <c r="AIU61" s="46"/>
      <c r="AIV61" s="46"/>
      <c r="AIW61" s="46"/>
      <c r="AIX61" s="46"/>
      <c r="AIY61" s="46"/>
      <c r="AIZ61" s="46"/>
      <c r="AJA61" s="46"/>
      <c r="AJB61" s="46"/>
      <c r="AJC61" s="46"/>
      <c r="AJD61" s="46"/>
      <c r="AJE61" s="46"/>
      <c r="AJF61" s="46"/>
      <c r="AJG61" s="46"/>
      <c r="AJH61" s="46"/>
      <c r="AJI61" s="46"/>
      <c r="AJJ61" s="46"/>
      <c r="AJK61" s="46"/>
      <c r="AJL61" s="46"/>
      <c r="AJM61" s="46"/>
      <c r="AJN61" s="46"/>
      <c r="AJO61" s="46"/>
      <c r="AJP61" s="46"/>
      <c r="AJQ61" s="46"/>
      <c r="AJR61" s="46"/>
      <c r="AJS61" s="46"/>
      <c r="AJT61" s="46"/>
      <c r="AJU61" s="46"/>
      <c r="AJV61" s="46"/>
      <c r="AJW61" s="46"/>
      <c r="AJX61" s="46"/>
      <c r="AJY61" s="46"/>
      <c r="AJZ61" s="46"/>
      <c r="AKA61" s="46"/>
      <c r="AKB61" s="46"/>
      <c r="AKC61" s="46"/>
      <c r="AKD61" s="46"/>
      <c r="AKE61" s="46"/>
      <c r="AKF61" s="46"/>
      <c r="AKG61" s="46"/>
      <c r="AKH61" s="46"/>
      <c r="AKI61" s="46"/>
      <c r="AKJ61" s="46"/>
      <c r="AKK61" s="46"/>
      <c r="AKL61" s="46"/>
      <c r="AKM61" s="46"/>
      <c r="AKN61" s="46"/>
      <c r="AKO61" s="46"/>
      <c r="AKP61" s="46"/>
      <c r="AKQ61" s="46"/>
      <c r="AKR61" s="46"/>
      <c r="AKS61" s="46"/>
      <c r="AKT61" s="46"/>
      <c r="AKU61" s="46"/>
      <c r="AKV61" s="46"/>
      <c r="AKW61" s="46"/>
      <c r="AKX61" s="46"/>
      <c r="AKY61" s="46"/>
      <c r="AKZ61" s="46"/>
      <c r="ALA61" s="46"/>
      <c r="ALB61" s="46"/>
      <c r="ALC61" s="46"/>
      <c r="ALD61" s="46"/>
      <c r="ALE61" s="46"/>
      <c r="ALF61" s="46"/>
      <c r="ALG61" s="46"/>
      <c r="ALH61" s="46"/>
      <c r="ALI61" s="46"/>
      <c r="ALJ61" s="46"/>
      <c r="ALK61" s="46"/>
      <c r="ALL61" s="46"/>
      <c r="ALM61" s="46"/>
      <c r="ALN61" s="46"/>
      <c r="ALO61" s="46"/>
      <c r="ALP61" s="46"/>
      <c r="ALQ61" s="46"/>
      <c r="ALR61" s="46"/>
      <c r="ALS61" s="46"/>
      <c r="ALT61" s="46"/>
      <c r="ALU61" s="46"/>
      <c r="ALV61" s="46"/>
      <c r="ALW61" s="46"/>
      <c r="ALX61" s="46"/>
      <c r="ALY61" s="46"/>
      <c r="ALZ61" s="46"/>
      <c r="AMA61" s="46"/>
      <c r="AMB61" s="46"/>
      <c r="AMC61" s="46"/>
      <c r="AMD61" s="46"/>
      <c r="AME61" s="46"/>
      <c r="AMF61" s="46"/>
      <c r="AMG61" s="46"/>
      <c r="AMH61" s="46"/>
      <c r="AMI61" s="46"/>
      <c r="AMJ61" s="46"/>
      <c r="AMK61" s="46"/>
    </row>
    <row r="62" spans="1:1025">
      <c r="A62" s="28" t="s">
        <v>15</v>
      </c>
      <c r="B62" s="119"/>
      <c r="C62" s="72"/>
      <c r="D62" s="55" t="s">
        <v>142</v>
      </c>
      <c r="E62" s="56">
        <v>1</v>
      </c>
      <c r="F62" s="91" t="b">
        <v>0</v>
      </c>
      <c r="G62" s="57">
        <v>0.9</v>
      </c>
      <c r="H62" s="57">
        <v>1.9</v>
      </c>
      <c r="I62" s="56" t="s">
        <v>63</v>
      </c>
      <c r="J62" s="56" t="s">
        <v>78</v>
      </c>
      <c r="K62" s="57">
        <v>0.9</v>
      </c>
      <c r="L62" s="57">
        <v>1.9</v>
      </c>
      <c r="M62" s="58">
        <f t="shared" si="10"/>
        <v>1.71</v>
      </c>
      <c r="N62" s="34"/>
      <c r="O62" s="74"/>
      <c r="P62" s="58"/>
      <c r="Q62" s="1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  <c r="IU62" s="46"/>
      <c r="IV62" s="46"/>
      <c r="IW62" s="46"/>
      <c r="IX62" s="46"/>
      <c r="IY62" s="46"/>
      <c r="IZ62" s="46"/>
      <c r="JA62" s="46"/>
      <c r="JB62" s="46"/>
      <c r="JC62" s="46"/>
      <c r="JD62" s="46"/>
      <c r="JE62" s="46"/>
      <c r="JF62" s="46"/>
      <c r="JG62" s="46"/>
      <c r="JH62" s="46"/>
      <c r="JI62" s="46"/>
      <c r="JJ62" s="46"/>
      <c r="JK62" s="46"/>
      <c r="JL62" s="46"/>
      <c r="JM62" s="46"/>
      <c r="JN62" s="46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46"/>
      <c r="KA62" s="46"/>
      <c r="KB62" s="46"/>
      <c r="KC62" s="46"/>
      <c r="KD62" s="46"/>
      <c r="KE62" s="46"/>
      <c r="KF62" s="46"/>
      <c r="KG62" s="46"/>
      <c r="KH62" s="46"/>
      <c r="KI62" s="46"/>
      <c r="KJ62" s="46"/>
      <c r="KK62" s="46"/>
      <c r="KL62" s="46"/>
      <c r="KM62" s="46"/>
      <c r="KN62" s="46"/>
      <c r="KO62" s="46"/>
      <c r="KP62" s="46"/>
      <c r="KQ62" s="46"/>
      <c r="KR62" s="46"/>
      <c r="KS62" s="46"/>
      <c r="KT62" s="46"/>
      <c r="KU62" s="46"/>
      <c r="KV62" s="46"/>
      <c r="KW62" s="46"/>
      <c r="KX62" s="46"/>
      <c r="KY62" s="46"/>
      <c r="KZ62" s="46"/>
      <c r="LA62" s="46"/>
      <c r="LB62" s="46"/>
      <c r="LC62" s="46"/>
      <c r="LD62" s="46"/>
      <c r="LE62" s="46"/>
      <c r="LF62" s="46"/>
      <c r="LG62" s="46"/>
      <c r="LH62" s="46"/>
      <c r="LI62" s="46"/>
      <c r="LJ62" s="46"/>
      <c r="LK62" s="46"/>
      <c r="LL62" s="46"/>
      <c r="LM62" s="46"/>
      <c r="LN62" s="46"/>
      <c r="LO62" s="46"/>
      <c r="LP62" s="46"/>
      <c r="LQ62" s="46"/>
      <c r="LR62" s="46"/>
      <c r="LS62" s="46"/>
      <c r="LT62" s="46"/>
      <c r="LU62" s="46"/>
      <c r="LV62" s="46"/>
      <c r="LW62" s="46"/>
      <c r="LX62" s="46"/>
      <c r="LY62" s="46"/>
      <c r="LZ62" s="46"/>
      <c r="MA62" s="46"/>
      <c r="MB62" s="46"/>
      <c r="MC62" s="46"/>
      <c r="MD62" s="46"/>
      <c r="ME62" s="46"/>
      <c r="MF62" s="46"/>
      <c r="MG62" s="46"/>
      <c r="MH62" s="46"/>
      <c r="MI62" s="46"/>
      <c r="MJ62" s="46"/>
      <c r="MK62" s="46"/>
      <c r="ML62" s="46"/>
      <c r="MM62" s="46"/>
      <c r="MN62" s="46"/>
      <c r="MO62" s="46"/>
      <c r="MP62" s="46"/>
      <c r="MQ62" s="46"/>
      <c r="MR62" s="46"/>
      <c r="MS62" s="46"/>
      <c r="MT62" s="46"/>
      <c r="MU62" s="46"/>
      <c r="MV62" s="46"/>
      <c r="MW62" s="46"/>
      <c r="MX62" s="46"/>
      <c r="MY62" s="46"/>
      <c r="MZ62" s="46"/>
      <c r="NA62" s="46"/>
      <c r="NB62" s="46"/>
      <c r="NC62" s="46"/>
      <c r="ND62" s="46"/>
      <c r="NE62" s="46"/>
      <c r="NF62" s="46"/>
      <c r="NG62" s="46"/>
      <c r="NH62" s="46"/>
      <c r="NI62" s="46"/>
      <c r="NJ62" s="46"/>
      <c r="NK62" s="46"/>
      <c r="NL62" s="46"/>
      <c r="NM62" s="46"/>
      <c r="NN62" s="46"/>
      <c r="NO62" s="46"/>
      <c r="NP62" s="46"/>
      <c r="NQ62" s="46"/>
      <c r="NR62" s="46"/>
      <c r="NS62" s="46"/>
      <c r="NT62" s="46"/>
      <c r="NU62" s="46"/>
      <c r="NV62" s="46"/>
      <c r="NW62" s="46"/>
      <c r="NX62" s="46"/>
      <c r="NY62" s="46"/>
      <c r="NZ62" s="46"/>
      <c r="OA62" s="46"/>
      <c r="OB62" s="46"/>
      <c r="OC62" s="46"/>
      <c r="OD62" s="46"/>
      <c r="OE62" s="46"/>
      <c r="OF62" s="46"/>
      <c r="OG62" s="46"/>
      <c r="OH62" s="46"/>
      <c r="OI62" s="46"/>
      <c r="OJ62" s="46"/>
      <c r="OK62" s="46"/>
      <c r="OL62" s="46"/>
      <c r="OM62" s="46"/>
      <c r="ON62" s="46"/>
      <c r="OO62" s="46"/>
      <c r="OP62" s="46"/>
      <c r="OQ62" s="46"/>
      <c r="OR62" s="46"/>
      <c r="OS62" s="46"/>
      <c r="OT62" s="46"/>
      <c r="OU62" s="46"/>
      <c r="OV62" s="46"/>
      <c r="OW62" s="46"/>
      <c r="OX62" s="46"/>
      <c r="OY62" s="46"/>
      <c r="OZ62" s="46"/>
      <c r="PA62" s="46"/>
      <c r="PB62" s="46"/>
      <c r="PC62" s="46"/>
      <c r="PD62" s="46"/>
      <c r="PE62" s="46"/>
      <c r="PF62" s="46"/>
      <c r="PG62" s="46"/>
      <c r="PH62" s="46"/>
      <c r="PI62" s="46"/>
      <c r="PJ62" s="46"/>
      <c r="PK62" s="46"/>
      <c r="PL62" s="46"/>
      <c r="PM62" s="46"/>
      <c r="PN62" s="46"/>
      <c r="PO62" s="46"/>
      <c r="PP62" s="46"/>
      <c r="PQ62" s="46"/>
      <c r="PR62" s="46"/>
      <c r="PS62" s="46"/>
      <c r="PT62" s="46"/>
      <c r="PU62" s="46"/>
      <c r="PV62" s="46"/>
      <c r="PW62" s="46"/>
      <c r="PX62" s="46"/>
      <c r="PY62" s="46"/>
      <c r="PZ62" s="46"/>
      <c r="QA62" s="46"/>
      <c r="QB62" s="46"/>
      <c r="QC62" s="46"/>
      <c r="QD62" s="46"/>
      <c r="QE62" s="46"/>
      <c r="QF62" s="46"/>
      <c r="QG62" s="46"/>
      <c r="QH62" s="46"/>
      <c r="QI62" s="46"/>
      <c r="QJ62" s="46"/>
      <c r="QK62" s="46"/>
      <c r="QL62" s="46"/>
      <c r="QM62" s="46"/>
      <c r="QN62" s="46"/>
      <c r="QO62" s="46"/>
      <c r="QP62" s="46"/>
      <c r="QQ62" s="46"/>
      <c r="QR62" s="46"/>
      <c r="QS62" s="46"/>
      <c r="QT62" s="46"/>
      <c r="QU62" s="46"/>
      <c r="QV62" s="46"/>
      <c r="QW62" s="46"/>
      <c r="QX62" s="46"/>
      <c r="QY62" s="46"/>
      <c r="QZ62" s="46"/>
      <c r="RA62" s="46"/>
      <c r="RB62" s="46"/>
      <c r="RC62" s="46"/>
      <c r="RD62" s="46"/>
      <c r="RE62" s="46"/>
      <c r="RF62" s="46"/>
      <c r="RG62" s="46"/>
      <c r="RH62" s="46"/>
      <c r="RI62" s="46"/>
      <c r="RJ62" s="46"/>
      <c r="RK62" s="46"/>
      <c r="RL62" s="46"/>
      <c r="RM62" s="46"/>
      <c r="RN62" s="46"/>
      <c r="RO62" s="46"/>
      <c r="RP62" s="46"/>
      <c r="RQ62" s="46"/>
      <c r="RR62" s="46"/>
      <c r="RS62" s="46"/>
      <c r="RT62" s="46"/>
      <c r="RU62" s="46"/>
      <c r="RV62" s="46"/>
      <c r="RW62" s="46"/>
      <c r="RX62" s="46"/>
      <c r="RY62" s="46"/>
      <c r="RZ62" s="46"/>
      <c r="SA62" s="46"/>
      <c r="SB62" s="46"/>
      <c r="SC62" s="46"/>
      <c r="SD62" s="46"/>
      <c r="SE62" s="46"/>
      <c r="SF62" s="46"/>
      <c r="SG62" s="46"/>
      <c r="SH62" s="46"/>
      <c r="SI62" s="46"/>
      <c r="SJ62" s="46"/>
      <c r="SK62" s="46"/>
      <c r="SL62" s="46"/>
      <c r="SM62" s="46"/>
      <c r="SN62" s="46"/>
      <c r="SO62" s="46"/>
      <c r="SP62" s="46"/>
      <c r="SQ62" s="46"/>
      <c r="SR62" s="46"/>
      <c r="SS62" s="46"/>
      <c r="ST62" s="46"/>
      <c r="SU62" s="46"/>
      <c r="SV62" s="46"/>
      <c r="SW62" s="46"/>
      <c r="SX62" s="46"/>
      <c r="SY62" s="46"/>
      <c r="SZ62" s="46"/>
      <c r="TA62" s="46"/>
      <c r="TB62" s="46"/>
      <c r="TC62" s="46"/>
      <c r="TD62" s="46"/>
      <c r="TE62" s="46"/>
      <c r="TF62" s="46"/>
      <c r="TG62" s="46"/>
      <c r="TH62" s="46"/>
      <c r="TI62" s="46"/>
      <c r="TJ62" s="46"/>
      <c r="TK62" s="46"/>
      <c r="TL62" s="46"/>
      <c r="TM62" s="46"/>
      <c r="TN62" s="46"/>
      <c r="TO62" s="46"/>
      <c r="TP62" s="46"/>
      <c r="TQ62" s="46"/>
      <c r="TR62" s="46"/>
      <c r="TS62" s="46"/>
      <c r="TT62" s="46"/>
      <c r="TU62" s="46"/>
      <c r="TV62" s="46"/>
      <c r="TW62" s="46"/>
      <c r="TX62" s="46"/>
      <c r="TY62" s="46"/>
      <c r="TZ62" s="46"/>
      <c r="UA62" s="46"/>
      <c r="UB62" s="46"/>
      <c r="UC62" s="46"/>
      <c r="UD62" s="46"/>
      <c r="UE62" s="46"/>
      <c r="UF62" s="46"/>
      <c r="UG62" s="46"/>
      <c r="UH62" s="46"/>
      <c r="UI62" s="46"/>
      <c r="UJ62" s="46"/>
      <c r="UK62" s="46"/>
      <c r="UL62" s="46"/>
      <c r="UM62" s="46"/>
      <c r="UN62" s="46"/>
      <c r="UO62" s="46"/>
      <c r="UP62" s="46"/>
      <c r="UQ62" s="46"/>
      <c r="UR62" s="46"/>
      <c r="US62" s="46"/>
      <c r="UT62" s="46"/>
      <c r="UU62" s="46"/>
      <c r="UV62" s="46"/>
      <c r="UW62" s="46"/>
      <c r="UX62" s="46"/>
      <c r="UY62" s="46"/>
      <c r="UZ62" s="46"/>
      <c r="VA62" s="46"/>
      <c r="VB62" s="46"/>
      <c r="VC62" s="46"/>
      <c r="VD62" s="46"/>
      <c r="VE62" s="46"/>
      <c r="VF62" s="46"/>
      <c r="VG62" s="46"/>
      <c r="VH62" s="46"/>
      <c r="VI62" s="46"/>
      <c r="VJ62" s="46"/>
      <c r="VK62" s="46"/>
      <c r="VL62" s="46"/>
      <c r="VM62" s="46"/>
      <c r="VN62" s="46"/>
      <c r="VO62" s="46"/>
      <c r="VP62" s="46"/>
      <c r="VQ62" s="46"/>
      <c r="VR62" s="46"/>
      <c r="VS62" s="46"/>
      <c r="VT62" s="46"/>
      <c r="VU62" s="46"/>
      <c r="VV62" s="46"/>
      <c r="VW62" s="46"/>
      <c r="VX62" s="46"/>
      <c r="VY62" s="46"/>
      <c r="VZ62" s="46"/>
      <c r="WA62" s="46"/>
      <c r="WB62" s="46"/>
      <c r="WC62" s="46"/>
      <c r="WD62" s="46"/>
      <c r="WE62" s="46"/>
      <c r="WF62" s="46"/>
      <c r="WG62" s="46"/>
      <c r="WH62" s="46"/>
      <c r="WI62" s="46"/>
      <c r="WJ62" s="46"/>
      <c r="WK62" s="46"/>
      <c r="WL62" s="46"/>
      <c r="WM62" s="46"/>
      <c r="WN62" s="46"/>
      <c r="WO62" s="46"/>
      <c r="WP62" s="46"/>
      <c r="WQ62" s="46"/>
      <c r="WR62" s="46"/>
      <c r="WS62" s="46"/>
      <c r="WT62" s="46"/>
      <c r="WU62" s="46"/>
      <c r="WV62" s="46"/>
      <c r="WW62" s="46"/>
      <c r="WX62" s="46"/>
      <c r="WY62" s="46"/>
      <c r="WZ62" s="46"/>
      <c r="XA62" s="46"/>
      <c r="XB62" s="46"/>
      <c r="XC62" s="46"/>
      <c r="XD62" s="46"/>
      <c r="XE62" s="46"/>
      <c r="XF62" s="46"/>
      <c r="XG62" s="46"/>
      <c r="XH62" s="46"/>
      <c r="XI62" s="46"/>
      <c r="XJ62" s="46"/>
      <c r="XK62" s="46"/>
      <c r="XL62" s="46"/>
      <c r="XM62" s="46"/>
      <c r="XN62" s="46"/>
      <c r="XO62" s="46"/>
      <c r="XP62" s="46"/>
      <c r="XQ62" s="46"/>
      <c r="XR62" s="46"/>
      <c r="XS62" s="46"/>
      <c r="XT62" s="46"/>
      <c r="XU62" s="46"/>
      <c r="XV62" s="46"/>
      <c r="XW62" s="46"/>
      <c r="XX62" s="46"/>
      <c r="XY62" s="46"/>
      <c r="XZ62" s="46"/>
      <c r="YA62" s="46"/>
      <c r="YB62" s="46"/>
      <c r="YC62" s="46"/>
      <c r="YD62" s="46"/>
      <c r="YE62" s="46"/>
      <c r="YF62" s="46"/>
      <c r="YG62" s="46"/>
      <c r="YH62" s="46"/>
      <c r="YI62" s="46"/>
      <c r="YJ62" s="46"/>
      <c r="YK62" s="46"/>
      <c r="YL62" s="46"/>
      <c r="YM62" s="46"/>
      <c r="YN62" s="46"/>
      <c r="YO62" s="46"/>
      <c r="YP62" s="46"/>
      <c r="YQ62" s="46"/>
      <c r="YR62" s="46"/>
      <c r="YS62" s="46"/>
      <c r="YT62" s="46"/>
      <c r="YU62" s="46"/>
      <c r="YV62" s="46"/>
      <c r="YW62" s="46"/>
      <c r="YX62" s="46"/>
      <c r="YY62" s="46"/>
      <c r="YZ62" s="46"/>
      <c r="ZA62" s="46"/>
      <c r="ZB62" s="46"/>
      <c r="ZC62" s="46"/>
      <c r="ZD62" s="46"/>
      <c r="ZE62" s="46"/>
      <c r="ZF62" s="46"/>
      <c r="ZG62" s="46"/>
      <c r="ZH62" s="46"/>
      <c r="ZI62" s="46"/>
      <c r="ZJ62" s="46"/>
      <c r="ZK62" s="46"/>
      <c r="ZL62" s="46"/>
      <c r="ZM62" s="46"/>
      <c r="ZN62" s="46"/>
      <c r="ZO62" s="46"/>
      <c r="ZP62" s="46"/>
      <c r="ZQ62" s="46"/>
      <c r="ZR62" s="46"/>
      <c r="ZS62" s="46"/>
      <c r="ZT62" s="46"/>
      <c r="ZU62" s="46"/>
      <c r="ZV62" s="46"/>
      <c r="ZW62" s="46"/>
      <c r="ZX62" s="46"/>
      <c r="ZY62" s="46"/>
      <c r="ZZ62" s="46"/>
      <c r="AAA62" s="46"/>
      <c r="AAB62" s="46"/>
      <c r="AAC62" s="46"/>
      <c r="AAD62" s="46"/>
      <c r="AAE62" s="46"/>
      <c r="AAF62" s="46"/>
      <c r="AAG62" s="46"/>
      <c r="AAH62" s="46"/>
      <c r="AAI62" s="46"/>
      <c r="AAJ62" s="46"/>
      <c r="AAK62" s="46"/>
      <c r="AAL62" s="46"/>
      <c r="AAM62" s="46"/>
      <c r="AAN62" s="46"/>
      <c r="AAO62" s="46"/>
      <c r="AAP62" s="46"/>
      <c r="AAQ62" s="46"/>
      <c r="AAR62" s="46"/>
      <c r="AAS62" s="46"/>
      <c r="AAT62" s="46"/>
      <c r="AAU62" s="46"/>
      <c r="AAV62" s="46"/>
      <c r="AAW62" s="46"/>
      <c r="AAX62" s="46"/>
      <c r="AAY62" s="46"/>
      <c r="AAZ62" s="46"/>
      <c r="ABA62" s="46"/>
      <c r="ABB62" s="46"/>
      <c r="ABC62" s="46"/>
      <c r="ABD62" s="46"/>
      <c r="ABE62" s="46"/>
      <c r="ABF62" s="46"/>
      <c r="ABG62" s="46"/>
      <c r="ABH62" s="46"/>
      <c r="ABI62" s="46"/>
      <c r="ABJ62" s="46"/>
      <c r="ABK62" s="46"/>
      <c r="ABL62" s="46"/>
      <c r="ABM62" s="46"/>
      <c r="ABN62" s="46"/>
      <c r="ABO62" s="46"/>
      <c r="ABP62" s="46"/>
      <c r="ABQ62" s="46"/>
      <c r="ABR62" s="46"/>
      <c r="ABS62" s="46"/>
      <c r="ABT62" s="46"/>
      <c r="ABU62" s="46"/>
      <c r="ABV62" s="46"/>
      <c r="ABW62" s="46"/>
      <c r="ABX62" s="46"/>
      <c r="ABY62" s="46"/>
      <c r="ABZ62" s="46"/>
      <c r="ACA62" s="46"/>
      <c r="ACB62" s="46"/>
      <c r="ACC62" s="46"/>
      <c r="ACD62" s="46"/>
      <c r="ACE62" s="46"/>
      <c r="ACF62" s="46"/>
      <c r="ACG62" s="46"/>
      <c r="ACH62" s="46"/>
      <c r="ACI62" s="46"/>
      <c r="ACJ62" s="46"/>
      <c r="ACK62" s="46"/>
      <c r="ACL62" s="46"/>
      <c r="ACM62" s="46"/>
      <c r="ACN62" s="46"/>
      <c r="ACO62" s="46"/>
      <c r="ACP62" s="46"/>
      <c r="ACQ62" s="46"/>
      <c r="ACR62" s="46"/>
      <c r="ACS62" s="46"/>
      <c r="ACT62" s="46"/>
      <c r="ACU62" s="46"/>
      <c r="ACV62" s="46"/>
      <c r="ACW62" s="46"/>
      <c r="ACX62" s="46"/>
      <c r="ACY62" s="46"/>
      <c r="ACZ62" s="46"/>
      <c r="ADA62" s="46"/>
      <c r="ADB62" s="46"/>
      <c r="ADC62" s="46"/>
      <c r="ADD62" s="46"/>
      <c r="ADE62" s="46"/>
      <c r="ADF62" s="46"/>
      <c r="ADG62" s="46"/>
      <c r="ADH62" s="46"/>
      <c r="ADI62" s="46"/>
      <c r="ADJ62" s="46"/>
      <c r="ADK62" s="46"/>
      <c r="ADL62" s="46"/>
      <c r="ADM62" s="46"/>
      <c r="ADN62" s="46"/>
      <c r="ADO62" s="46"/>
      <c r="ADP62" s="46"/>
      <c r="ADQ62" s="46"/>
      <c r="ADR62" s="46"/>
      <c r="ADS62" s="46"/>
      <c r="ADT62" s="46"/>
      <c r="ADU62" s="46"/>
      <c r="ADV62" s="46"/>
      <c r="ADW62" s="46"/>
      <c r="ADX62" s="46"/>
      <c r="ADY62" s="46"/>
      <c r="ADZ62" s="46"/>
      <c r="AEA62" s="46"/>
      <c r="AEB62" s="46"/>
      <c r="AEC62" s="46"/>
      <c r="AED62" s="46"/>
      <c r="AEE62" s="46"/>
      <c r="AEF62" s="46"/>
      <c r="AEG62" s="46"/>
      <c r="AEH62" s="46"/>
      <c r="AEI62" s="46"/>
      <c r="AEJ62" s="46"/>
      <c r="AEK62" s="46"/>
      <c r="AEL62" s="46"/>
      <c r="AEM62" s="46"/>
      <c r="AEN62" s="46"/>
      <c r="AEO62" s="46"/>
      <c r="AEP62" s="46"/>
      <c r="AEQ62" s="46"/>
      <c r="AER62" s="46"/>
      <c r="AES62" s="46"/>
      <c r="AET62" s="46"/>
      <c r="AEU62" s="46"/>
      <c r="AEV62" s="46"/>
      <c r="AEW62" s="46"/>
      <c r="AEX62" s="46"/>
      <c r="AEY62" s="46"/>
      <c r="AEZ62" s="46"/>
      <c r="AFA62" s="46"/>
      <c r="AFB62" s="46"/>
      <c r="AFC62" s="46"/>
      <c r="AFD62" s="46"/>
      <c r="AFE62" s="46"/>
      <c r="AFF62" s="46"/>
      <c r="AFG62" s="46"/>
      <c r="AFH62" s="46"/>
      <c r="AFI62" s="46"/>
      <c r="AFJ62" s="46"/>
      <c r="AFK62" s="46"/>
      <c r="AFL62" s="46"/>
      <c r="AFM62" s="46"/>
      <c r="AFN62" s="46"/>
      <c r="AFO62" s="46"/>
      <c r="AFP62" s="46"/>
      <c r="AFQ62" s="46"/>
      <c r="AFR62" s="46"/>
      <c r="AFS62" s="46"/>
      <c r="AFT62" s="46"/>
      <c r="AFU62" s="46"/>
      <c r="AFV62" s="46"/>
      <c r="AFW62" s="46"/>
      <c r="AFX62" s="46"/>
      <c r="AFY62" s="46"/>
      <c r="AFZ62" s="46"/>
      <c r="AGA62" s="46"/>
      <c r="AGB62" s="46"/>
      <c r="AGC62" s="46"/>
      <c r="AGD62" s="46"/>
      <c r="AGE62" s="46"/>
      <c r="AGF62" s="46"/>
      <c r="AGG62" s="46"/>
      <c r="AGH62" s="46"/>
      <c r="AGI62" s="46"/>
      <c r="AGJ62" s="46"/>
      <c r="AGK62" s="46"/>
      <c r="AGL62" s="46"/>
      <c r="AGM62" s="46"/>
      <c r="AGN62" s="46"/>
      <c r="AGO62" s="46"/>
      <c r="AGP62" s="46"/>
      <c r="AGQ62" s="46"/>
      <c r="AGR62" s="46"/>
      <c r="AGS62" s="46"/>
      <c r="AGT62" s="46"/>
      <c r="AGU62" s="46"/>
      <c r="AGV62" s="46"/>
      <c r="AGW62" s="46"/>
      <c r="AGX62" s="46"/>
      <c r="AGY62" s="46"/>
      <c r="AGZ62" s="46"/>
      <c r="AHA62" s="46"/>
      <c r="AHB62" s="46"/>
      <c r="AHC62" s="46"/>
      <c r="AHD62" s="46"/>
      <c r="AHE62" s="46"/>
      <c r="AHF62" s="46"/>
      <c r="AHG62" s="46"/>
      <c r="AHH62" s="46"/>
      <c r="AHI62" s="46"/>
      <c r="AHJ62" s="46"/>
      <c r="AHK62" s="46"/>
      <c r="AHL62" s="46"/>
      <c r="AHM62" s="46"/>
      <c r="AHN62" s="46"/>
      <c r="AHO62" s="46"/>
      <c r="AHP62" s="46"/>
      <c r="AHQ62" s="46"/>
      <c r="AHR62" s="46"/>
      <c r="AHS62" s="46"/>
      <c r="AHT62" s="46"/>
      <c r="AHU62" s="46"/>
      <c r="AHV62" s="46"/>
      <c r="AHW62" s="46"/>
      <c r="AHX62" s="46"/>
      <c r="AHY62" s="46"/>
      <c r="AHZ62" s="46"/>
      <c r="AIA62" s="46"/>
      <c r="AIB62" s="46"/>
      <c r="AIC62" s="46"/>
      <c r="AID62" s="46"/>
      <c r="AIE62" s="46"/>
      <c r="AIF62" s="46"/>
      <c r="AIG62" s="46"/>
      <c r="AIH62" s="46"/>
      <c r="AII62" s="46"/>
      <c r="AIJ62" s="46"/>
      <c r="AIK62" s="46"/>
      <c r="AIL62" s="46"/>
      <c r="AIM62" s="46"/>
      <c r="AIN62" s="46"/>
      <c r="AIO62" s="46"/>
      <c r="AIP62" s="46"/>
      <c r="AIQ62" s="46"/>
      <c r="AIR62" s="46"/>
      <c r="AIS62" s="46"/>
      <c r="AIT62" s="46"/>
      <c r="AIU62" s="46"/>
      <c r="AIV62" s="46"/>
      <c r="AIW62" s="46"/>
      <c r="AIX62" s="46"/>
      <c r="AIY62" s="46"/>
      <c r="AIZ62" s="46"/>
      <c r="AJA62" s="46"/>
      <c r="AJB62" s="46"/>
      <c r="AJC62" s="46"/>
      <c r="AJD62" s="46"/>
      <c r="AJE62" s="46"/>
      <c r="AJF62" s="46"/>
      <c r="AJG62" s="46"/>
      <c r="AJH62" s="46"/>
      <c r="AJI62" s="46"/>
      <c r="AJJ62" s="46"/>
      <c r="AJK62" s="46"/>
      <c r="AJL62" s="46"/>
      <c r="AJM62" s="46"/>
      <c r="AJN62" s="46"/>
      <c r="AJO62" s="46"/>
      <c r="AJP62" s="46"/>
      <c r="AJQ62" s="46"/>
      <c r="AJR62" s="46"/>
      <c r="AJS62" s="46"/>
      <c r="AJT62" s="46"/>
      <c r="AJU62" s="46"/>
      <c r="AJV62" s="46"/>
      <c r="AJW62" s="46"/>
      <c r="AJX62" s="46"/>
      <c r="AJY62" s="46"/>
      <c r="AJZ62" s="46"/>
      <c r="AKA62" s="46"/>
      <c r="AKB62" s="46"/>
      <c r="AKC62" s="46"/>
      <c r="AKD62" s="46"/>
      <c r="AKE62" s="46"/>
      <c r="AKF62" s="46"/>
      <c r="AKG62" s="46"/>
      <c r="AKH62" s="46"/>
      <c r="AKI62" s="46"/>
      <c r="AKJ62" s="46"/>
      <c r="AKK62" s="46"/>
      <c r="AKL62" s="46"/>
      <c r="AKM62" s="46"/>
      <c r="AKN62" s="46"/>
      <c r="AKO62" s="46"/>
      <c r="AKP62" s="46"/>
      <c r="AKQ62" s="46"/>
      <c r="AKR62" s="46"/>
      <c r="AKS62" s="46"/>
      <c r="AKT62" s="46"/>
      <c r="AKU62" s="46"/>
      <c r="AKV62" s="46"/>
      <c r="AKW62" s="46"/>
      <c r="AKX62" s="46"/>
      <c r="AKY62" s="46"/>
      <c r="AKZ62" s="46"/>
      <c r="ALA62" s="46"/>
      <c r="ALB62" s="46"/>
      <c r="ALC62" s="46"/>
      <c r="ALD62" s="46"/>
      <c r="ALE62" s="46"/>
      <c r="ALF62" s="46"/>
      <c r="ALG62" s="46"/>
      <c r="ALH62" s="46"/>
      <c r="ALI62" s="46"/>
      <c r="ALJ62" s="46"/>
      <c r="ALK62" s="46"/>
      <c r="ALL62" s="46"/>
      <c r="ALM62" s="46"/>
      <c r="ALN62" s="46"/>
      <c r="ALO62" s="46"/>
      <c r="ALP62" s="46"/>
      <c r="ALQ62" s="46"/>
      <c r="ALR62" s="46"/>
      <c r="ALS62" s="46"/>
      <c r="ALT62" s="46"/>
      <c r="ALU62" s="46"/>
      <c r="ALV62" s="46"/>
      <c r="ALW62" s="46"/>
      <c r="ALX62" s="46"/>
      <c r="ALY62" s="46"/>
      <c r="ALZ62" s="46"/>
      <c r="AMA62" s="46"/>
      <c r="AMB62" s="46"/>
      <c r="AMC62" s="46"/>
      <c r="AMD62" s="46"/>
      <c r="AME62" s="46"/>
      <c r="AMF62" s="46"/>
      <c r="AMG62" s="46"/>
      <c r="AMH62" s="46"/>
      <c r="AMI62" s="46"/>
      <c r="AMJ62" s="46"/>
      <c r="AMK62" s="46"/>
    </row>
    <row r="63" spans="1:1025">
      <c r="A63" s="93" t="s">
        <v>15</v>
      </c>
      <c r="B63" s="115" t="s">
        <v>143</v>
      </c>
      <c r="C63" s="98" t="s">
        <v>144</v>
      </c>
      <c r="D63" s="62" t="s">
        <v>145</v>
      </c>
      <c r="E63" s="63">
        <v>2</v>
      </c>
      <c r="F63" s="91" t="b">
        <v>0</v>
      </c>
      <c r="G63" s="64">
        <v>3</v>
      </c>
      <c r="H63" s="64">
        <v>0.2</v>
      </c>
      <c r="I63" s="63" t="s">
        <v>146</v>
      </c>
      <c r="J63" s="63" t="s">
        <v>147</v>
      </c>
      <c r="K63" s="64">
        <v>3</v>
      </c>
      <c r="L63" s="64">
        <v>0.2</v>
      </c>
      <c r="M63" s="65">
        <f t="shared" si="9"/>
        <v>1.2000000000000002</v>
      </c>
      <c r="N63" s="34"/>
      <c r="O63" s="74"/>
      <c r="P63" s="57"/>
      <c r="Q63" s="16"/>
    </row>
    <row r="64" spans="1:1025">
      <c r="A64" s="93" t="s">
        <v>15</v>
      </c>
      <c r="B64" s="115"/>
      <c r="C64" s="61" t="s">
        <v>148</v>
      </c>
      <c r="D64" s="55" t="s">
        <v>149</v>
      </c>
      <c r="E64" s="56">
        <v>1</v>
      </c>
      <c r="F64" s="91" t="b">
        <v>0</v>
      </c>
      <c r="G64" s="66"/>
      <c r="H64" s="66">
        <v>0.15</v>
      </c>
      <c r="I64" s="56" t="s">
        <v>73</v>
      </c>
      <c r="J64" s="56" t="s">
        <v>150</v>
      </c>
      <c r="K64" s="66">
        <v>7.0000000000000007E-2</v>
      </c>
      <c r="L64" s="66">
        <v>0.2</v>
      </c>
      <c r="M64" s="58">
        <f t="shared" si="9"/>
        <v>1.4000000000000002E-2</v>
      </c>
      <c r="N64" s="34"/>
      <c r="O64" s="74"/>
      <c r="P64" s="57"/>
      <c r="Q64" s="16"/>
    </row>
    <row r="65" spans="1:1025">
      <c r="A65" s="93" t="s">
        <v>15</v>
      </c>
      <c r="B65" s="115"/>
      <c r="C65" s="61" t="s">
        <v>151</v>
      </c>
      <c r="D65" s="55" t="s">
        <v>152</v>
      </c>
      <c r="E65" s="56">
        <v>1</v>
      </c>
      <c r="F65" s="91" t="b">
        <v>0</v>
      </c>
      <c r="G65" s="67"/>
      <c r="H65" s="70">
        <v>0.1</v>
      </c>
      <c r="I65" s="56" t="s">
        <v>73</v>
      </c>
      <c r="J65" s="56" t="s">
        <v>150</v>
      </c>
      <c r="K65" s="67">
        <v>0.12</v>
      </c>
      <c r="L65" s="67">
        <v>0.13</v>
      </c>
      <c r="M65" s="58">
        <f t="shared" si="9"/>
        <v>1.5599999999999999E-2</v>
      </c>
      <c r="N65" s="34"/>
      <c r="O65" s="74"/>
      <c r="P65" s="57"/>
      <c r="Q65" s="16"/>
    </row>
    <row r="66" spans="1:1025">
      <c r="A66" s="93" t="s">
        <v>15</v>
      </c>
      <c r="B66" s="115"/>
      <c r="C66" s="61" t="s">
        <v>153</v>
      </c>
      <c r="D66" s="55" t="s">
        <v>154</v>
      </c>
      <c r="E66" s="56">
        <v>1</v>
      </c>
      <c r="F66" s="91" t="b">
        <v>0</v>
      </c>
      <c r="G66" s="67">
        <v>0.09</v>
      </c>
      <c r="H66" s="67">
        <v>0.09</v>
      </c>
      <c r="I66" s="56" t="s">
        <v>73</v>
      </c>
      <c r="J66" s="56" t="s">
        <v>150</v>
      </c>
      <c r="K66" s="67">
        <v>0.09</v>
      </c>
      <c r="L66" s="67">
        <v>0.12</v>
      </c>
      <c r="M66" s="58">
        <f t="shared" si="9"/>
        <v>1.0799999999999999E-2</v>
      </c>
      <c r="N66" s="34"/>
      <c r="O66" s="74"/>
      <c r="P66" s="57"/>
      <c r="Q66" s="16"/>
    </row>
    <row r="67" spans="1:1025">
      <c r="A67" s="93" t="s">
        <v>15</v>
      </c>
      <c r="B67" s="115"/>
      <c r="C67" s="61" t="s">
        <v>155</v>
      </c>
      <c r="D67" s="55" t="s">
        <v>156</v>
      </c>
      <c r="E67" s="56">
        <v>5</v>
      </c>
      <c r="F67" s="91" t="b">
        <v>0</v>
      </c>
      <c r="G67" s="78">
        <v>1.45</v>
      </c>
      <c r="H67" s="78">
        <v>0.42</v>
      </c>
      <c r="I67" s="59" t="s">
        <v>63</v>
      </c>
      <c r="J67" s="59" t="s">
        <v>78</v>
      </c>
      <c r="K67" s="79">
        <v>1.43</v>
      </c>
      <c r="L67" s="79">
        <v>0.4</v>
      </c>
      <c r="M67" s="80">
        <f t="shared" si="9"/>
        <v>2.86</v>
      </c>
      <c r="N67" s="34"/>
      <c r="O67" s="74"/>
      <c r="P67" s="73"/>
      <c r="Q67" s="16"/>
    </row>
    <row r="68" spans="1:1025" ht="15" customHeight="1">
      <c r="A68" s="93" t="s">
        <v>15</v>
      </c>
      <c r="B68" s="115"/>
      <c r="C68" s="99" t="s">
        <v>157</v>
      </c>
      <c r="D68" s="68" t="s">
        <v>158</v>
      </c>
      <c r="E68" s="69">
        <v>1</v>
      </c>
      <c r="F68" s="91" t="b">
        <v>0</v>
      </c>
      <c r="G68" s="79">
        <v>1.45</v>
      </c>
      <c r="H68" s="79">
        <v>0.42</v>
      </c>
      <c r="I68" s="81" t="s">
        <v>63</v>
      </c>
      <c r="J68" s="82" t="s">
        <v>78</v>
      </c>
      <c r="K68" s="79">
        <v>1.43</v>
      </c>
      <c r="L68" s="79">
        <v>0.4</v>
      </c>
      <c r="M68" s="80">
        <f t="shared" si="9"/>
        <v>0.57199999999999995</v>
      </c>
      <c r="N68" s="34"/>
      <c r="O68" s="74"/>
      <c r="P68" s="73"/>
      <c r="Q68" s="16"/>
      <c r="R68" s="46"/>
      <c r="S68" s="50"/>
      <c r="T68" s="48"/>
      <c r="U68" s="48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  <c r="NO68" s="27"/>
      <c r="NP68" s="27"/>
      <c r="NQ68" s="27"/>
      <c r="NR68" s="27"/>
      <c r="NS68" s="27"/>
      <c r="NT68" s="27"/>
      <c r="NU68" s="27"/>
      <c r="NV68" s="27"/>
      <c r="NW68" s="27"/>
      <c r="NX68" s="27"/>
      <c r="NY68" s="27"/>
      <c r="NZ68" s="27"/>
      <c r="OA68" s="27"/>
      <c r="OB68" s="27"/>
      <c r="OC68" s="27"/>
      <c r="OD68" s="27"/>
      <c r="OE68" s="27"/>
      <c r="OF68" s="27"/>
      <c r="OG68" s="27"/>
      <c r="OH68" s="27"/>
      <c r="OI68" s="27"/>
      <c r="OJ68" s="27"/>
      <c r="OK68" s="27"/>
      <c r="OL68" s="27"/>
      <c r="OM68" s="27"/>
      <c r="ON68" s="27"/>
      <c r="OO68" s="27"/>
      <c r="OP68" s="27"/>
      <c r="OQ68" s="27"/>
      <c r="OR68" s="27"/>
      <c r="OS68" s="27"/>
      <c r="OT68" s="27"/>
      <c r="OU68" s="27"/>
      <c r="OV68" s="27"/>
      <c r="OW68" s="27"/>
      <c r="OX68" s="27"/>
      <c r="OY68" s="27"/>
      <c r="OZ68" s="27"/>
      <c r="PA68" s="27"/>
      <c r="PB68" s="27"/>
      <c r="PC68" s="27"/>
      <c r="PD68" s="27"/>
      <c r="PE68" s="27"/>
      <c r="PF68" s="27"/>
      <c r="PG68" s="27"/>
      <c r="PH68" s="27"/>
      <c r="PI68" s="27"/>
      <c r="PJ68" s="27"/>
      <c r="PK68" s="27"/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7"/>
      <c r="QG68" s="27"/>
      <c r="QH68" s="27"/>
      <c r="QI68" s="27"/>
      <c r="QJ68" s="27"/>
      <c r="QK68" s="27"/>
      <c r="QL68" s="27"/>
      <c r="QM68" s="27"/>
      <c r="QN68" s="27"/>
      <c r="QO68" s="27"/>
      <c r="QP68" s="27"/>
      <c r="QQ68" s="27"/>
      <c r="QR68" s="27"/>
      <c r="QS68" s="27"/>
      <c r="QT68" s="27"/>
      <c r="QU68" s="27"/>
      <c r="QV68" s="27"/>
      <c r="QW68" s="27"/>
      <c r="QX68" s="27"/>
      <c r="QY68" s="27"/>
      <c r="QZ68" s="27"/>
      <c r="RA68" s="27"/>
      <c r="RB68" s="27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7"/>
      <c r="RO68" s="27"/>
      <c r="RP68" s="27"/>
      <c r="RQ68" s="27"/>
      <c r="RR68" s="27"/>
      <c r="RS68" s="27"/>
      <c r="RT68" s="27"/>
      <c r="RU68" s="27"/>
      <c r="RV68" s="27"/>
      <c r="RW68" s="27"/>
      <c r="RX68" s="27"/>
      <c r="RY68" s="27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7"/>
      <c r="TI68" s="27"/>
      <c r="TJ68" s="27"/>
      <c r="TK68" s="27"/>
      <c r="TL68" s="27"/>
      <c r="TM68" s="27"/>
      <c r="TN68" s="27"/>
      <c r="TO68" s="27"/>
      <c r="TP68" s="27"/>
      <c r="TQ68" s="27"/>
      <c r="TR68" s="27"/>
      <c r="TS68" s="27"/>
      <c r="TT68" s="27"/>
      <c r="TU68" s="27"/>
      <c r="TV68" s="27"/>
      <c r="TW68" s="27"/>
      <c r="TX68" s="27"/>
      <c r="TY68" s="27"/>
      <c r="TZ68" s="27"/>
      <c r="UA68" s="27"/>
      <c r="UB68" s="27"/>
      <c r="UC68" s="27"/>
      <c r="UD68" s="27"/>
      <c r="UE68" s="27"/>
      <c r="UF68" s="27"/>
      <c r="UG68" s="27"/>
      <c r="UH68" s="27"/>
      <c r="UI68" s="27"/>
      <c r="UJ68" s="27"/>
      <c r="UK68" s="27"/>
      <c r="UL68" s="27"/>
      <c r="UM68" s="27"/>
      <c r="UN68" s="27"/>
      <c r="UO68" s="27"/>
      <c r="UP68" s="27"/>
      <c r="UQ68" s="27"/>
      <c r="UR68" s="27"/>
      <c r="US68" s="27"/>
      <c r="UT68" s="27"/>
      <c r="UU68" s="27"/>
      <c r="UV68" s="27"/>
      <c r="UW68" s="27"/>
      <c r="UX68" s="27"/>
      <c r="UY68" s="27"/>
      <c r="UZ68" s="27"/>
      <c r="VA68" s="27"/>
      <c r="VB68" s="27"/>
      <c r="VC68" s="27"/>
      <c r="VD68" s="27"/>
      <c r="VE68" s="27"/>
      <c r="VF68" s="27"/>
      <c r="VG68" s="27"/>
      <c r="VH68" s="27"/>
      <c r="VI68" s="27"/>
      <c r="VJ68" s="27"/>
      <c r="VK68" s="27"/>
      <c r="VL68" s="27"/>
      <c r="VM68" s="27"/>
      <c r="VN68" s="27"/>
      <c r="VO68" s="27"/>
      <c r="VP68" s="27"/>
      <c r="VQ68" s="27"/>
      <c r="VR68" s="27"/>
      <c r="VS68" s="27"/>
      <c r="VT68" s="27"/>
      <c r="VU68" s="27"/>
      <c r="VV68" s="27"/>
      <c r="VW68" s="27"/>
      <c r="VX68" s="27"/>
      <c r="VY68" s="27"/>
      <c r="VZ68" s="27"/>
      <c r="WA68" s="27"/>
      <c r="WB68" s="27"/>
      <c r="WC68" s="27"/>
      <c r="WD68" s="27"/>
      <c r="WE68" s="27"/>
      <c r="WF68" s="27"/>
      <c r="WG68" s="27"/>
      <c r="WH68" s="27"/>
      <c r="WI68" s="27"/>
      <c r="WJ68" s="27"/>
      <c r="WK68" s="27"/>
      <c r="WL68" s="27"/>
      <c r="WM68" s="27"/>
      <c r="WN68" s="27"/>
      <c r="WO68" s="27"/>
      <c r="WP68" s="27"/>
      <c r="WQ68" s="27"/>
      <c r="WR68" s="27"/>
      <c r="WS68" s="27"/>
      <c r="WT68" s="27"/>
      <c r="WU68" s="27"/>
      <c r="WV68" s="27"/>
      <c r="WW68" s="27"/>
      <c r="WX68" s="27"/>
      <c r="WY68" s="27"/>
      <c r="WZ68" s="27"/>
      <c r="XA68" s="27"/>
      <c r="XB68" s="27"/>
      <c r="XC68" s="27"/>
      <c r="XD68" s="27"/>
      <c r="XE68" s="27"/>
      <c r="XF68" s="27"/>
      <c r="XG68" s="27"/>
      <c r="XH68" s="27"/>
      <c r="XI68" s="27"/>
      <c r="XJ68" s="27"/>
      <c r="XK68" s="27"/>
      <c r="XL68" s="27"/>
      <c r="XM68" s="27"/>
      <c r="XN68" s="27"/>
      <c r="XO68" s="27"/>
      <c r="XP68" s="27"/>
      <c r="XQ68" s="27"/>
      <c r="XR68" s="27"/>
      <c r="XS68" s="27"/>
      <c r="XT68" s="27"/>
      <c r="XU68" s="27"/>
      <c r="XV68" s="27"/>
      <c r="XW68" s="27"/>
      <c r="XX68" s="27"/>
      <c r="XY68" s="27"/>
      <c r="XZ68" s="27"/>
      <c r="YA68" s="27"/>
      <c r="YB68" s="27"/>
      <c r="YC68" s="27"/>
      <c r="YD68" s="27"/>
      <c r="YE68" s="27"/>
      <c r="YF68" s="27"/>
      <c r="YG68" s="27"/>
      <c r="YH68" s="27"/>
      <c r="YI68" s="27"/>
      <c r="YJ68" s="27"/>
      <c r="YK68" s="27"/>
      <c r="YL68" s="27"/>
      <c r="YM68" s="27"/>
      <c r="YN68" s="27"/>
      <c r="YO68" s="27"/>
      <c r="YP68" s="27"/>
      <c r="YQ68" s="27"/>
      <c r="YR68" s="27"/>
      <c r="YS68" s="27"/>
      <c r="YT68" s="27"/>
      <c r="YU68" s="27"/>
      <c r="YV68" s="27"/>
      <c r="YW68" s="27"/>
      <c r="YX68" s="27"/>
      <c r="YY68" s="27"/>
      <c r="YZ68" s="27"/>
      <c r="ZA68" s="27"/>
      <c r="ZB68" s="27"/>
      <c r="ZC68" s="27"/>
      <c r="ZD68" s="27"/>
      <c r="ZE68" s="27"/>
      <c r="ZF68" s="27"/>
      <c r="ZG68" s="27"/>
      <c r="ZH68" s="27"/>
      <c r="ZI68" s="27"/>
      <c r="ZJ68" s="27"/>
      <c r="ZK68" s="27"/>
      <c r="ZL68" s="27"/>
      <c r="ZM68" s="27"/>
      <c r="ZN68" s="27"/>
      <c r="ZO68" s="27"/>
      <c r="ZP68" s="27"/>
      <c r="ZQ68" s="27"/>
      <c r="ZR68" s="27"/>
      <c r="ZS68" s="27"/>
      <c r="ZT68" s="27"/>
      <c r="ZU68" s="27"/>
      <c r="ZV68" s="27"/>
      <c r="ZW68" s="27"/>
      <c r="ZX68" s="27"/>
      <c r="ZY68" s="27"/>
      <c r="ZZ68" s="27"/>
      <c r="AAA68" s="27"/>
      <c r="AAB68" s="27"/>
      <c r="AAC68" s="27"/>
      <c r="AAD68" s="27"/>
      <c r="AAE68" s="27"/>
      <c r="AAF68" s="27"/>
      <c r="AAG68" s="27"/>
      <c r="AAH68" s="27"/>
      <c r="AAI68" s="27"/>
      <c r="AAJ68" s="27"/>
      <c r="AAK68" s="27"/>
      <c r="AAL68" s="27"/>
      <c r="AAM68" s="27"/>
      <c r="AAN68" s="27"/>
      <c r="AAO68" s="27"/>
      <c r="AAP68" s="27"/>
      <c r="AAQ68" s="27"/>
      <c r="AAR68" s="27"/>
      <c r="AAS68" s="27"/>
      <c r="AAT68" s="27"/>
      <c r="AAU68" s="27"/>
      <c r="AAV68" s="27"/>
      <c r="AAW68" s="27"/>
      <c r="AAX68" s="27"/>
      <c r="AAY68" s="27"/>
      <c r="AAZ68" s="27"/>
      <c r="ABA68" s="27"/>
      <c r="ABB68" s="27"/>
      <c r="ABC68" s="27"/>
      <c r="ABD68" s="27"/>
      <c r="ABE68" s="27"/>
      <c r="ABF68" s="27"/>
      <c r="ABG68" s="27"/>
      <c r="ABH68" s="27"/>
      <c r="ABI68" s="27"/>
      <c r="ABJ68" s="27"/>
      <c r="ABK68" s="27"/>
      <c r="ABL68" s="27"/>
      <c r="ABM68" s="27"/>
      <c r="ABN68" s="27"/>
      <c r="ABO68" s="27"/>
      <c r="ABP68" s="27"/>
      <c r="ABQ68" s="27"/>
      <c r="ABR68" s="27"/>
      <c r="ABS68" s="27"/>
      <c r="ABT68" s="27"/>
      <c r="ABU68" s="27"/>
      <c r="ABV68" s="27"/>
      <c r="ABW68" s="27"/>
      <c r="ABX68" s="27"/>
      <c r="ABY68" s="27"/>
      <c r="ABZ68" s="27"/>
      <c r="ACA68" s="27"/>
      <c r="ACB68" s="27"/>
      <c r="ACC68" s="27"/>
      <c r="ACD68" s="27"/>
      <c r="ACE68" s="27"/>
      <c r="ACF68" s="27"/>
      <c r="ACG68" s="27"/>
      <c r="ACH68" s="27"/>
      <c r="ACI68" s="27"/>
      <c r="ACJ68" s="27"/>
      <c r="ACK68" s="27"/>
      <c r="ACL68" s="27"/>
      <c r="ACM68" s="27"/>
      <c r="ACN68" s="27"/>
      <c r="ACO68" s="27"/>
      <c r="ACP68" s="27"/>
      <c r="ACQ68" s="27"/>
      <c r="ACR68" s="27"/>
      <c r="ACS68" s="27"/>
      <c r="ACT68" s="27"/>
      <c r="ACU68" s="27"/>
      <c r="ACV68" s="27"/>
      <c r="ACW68" s="27"/>
      <c r="ACX68" s="27"/>
      <c r="ACY68" s="27"/>
      <c r="ACZ68" s="27"/>
      <c r="ADA68" s="27"/>
      <c r="ADB68" s="27"/>
      <c r="ADC68" s="27"/>
      <c r="ADD68" s="27"/>
      <c r="ADE68" s="27"/>
      <c r="ADF68" s="27"/>
      <c r="ADG68" s="27"/>
      <c r="ADH68" s="27"/>
      <c r="ADI68" s="27"/>
      <c r="ADJ68" s="27"/>
      <c r="ADK68" s="27"/>
      <c r="ADL68" s="27"/>
      <c r="ADM68" s="27"/>
      <c r="ADN68" s="27"/>
      <c r="ADO68" s="27"/>
      <c r="ADP68" s="27"/>
      <c r="ADQ68" s="27"/>
      <c r="ADR68" s="27"/>
      <c r="ADS68" s="27"/>
      <c r="ADT68" s="27"/>
      <c r="ADU68" s="27"/>
      <c r="ADV68" s="27"/>
      <c r="ADW68" s="27"/>
      <c r="ADX68" s="27"/>
      <c r="ADY68" s="27"/>
      <c r="ADZ68" s="27"/>
      <c r="AEA68" s="27"/>
      <c r="AEB68" s="27"/>
      <c r="AEC68" s="27"/>
      <c r="AED68" s="27"/>
      <c r="AEE68" s="27"/>
      <c r="AEF68" s="27"/>
      <c r="AEG68" s="27"/>
      <c r="AEH68" s="27"/>
      <c r="AEI68" s="27"/>
      <c r="AEJ68" s="27"/>
      <c r="AEK68" s="27"/>
      <c r="AEL68" s="27"/>
      <c r="AEM68" s="27"/>
      <c r="AEN68" s="27"/>
      <c r="AEO68" s="27"/>
      <c r="AEP68" s="27"/>
      <c r="AEQ68" s="27"/>
      <c r="AER68" s="27"/>
      <c r="AES68" s="27"/>
      <c r="AET68" s="27"/>
      <c r="AEU68" s="27"/>
      <c r="AEV68" s="27"/>
      <c r="AEW68" s="27"/>
      <c r="AEX68" s="27"/>
      <c r="AEY68" s="27"/>
      <c r="AEZ68" s="27"/>
      <c r="AFA68" s="27"/>
      <c r="AFB68" s="27"/>
      <c r="AFC68" s="27"/>
      <c r="AFD68" s="27"/>
      <c r="AFE68" s="27"/>
      <c r="AFF68" s="27"/>
      <c r="AFG68" s="27"/>
      <c r="AFH68" s="27"/>
      <c r="AFI68" s="27"/>
      <c r="AFJ68" s="27"/>
      <c r="AFK68" s="27"/>
      <c r="AFL68" s="27"/>
      <c r="AFM68" s="27"/>
      <c r="AFN68" s="27"/>
      <c r="AFO68" s="27"/>
      <c r="AFP68" s="27"/>
      <c r="AFQ68" s="27"/>
      <c r="AFR68" s="27"/>
      <c r="AFS68" s="27"/>
      <c r="AFT68" s="27"/>
      <c r="AFU68" s="27"/>
      <c r="AFV68" s="27"/>
      <c r="AFW68" s="27"/>
      <c r="AFX68" s="27"/>
      <c r="AFY68" s="27"/>
      <c r="AFZ68" s="27"/>
      <c r="AGA68" s="27"/>
      <c r="AGB68" s="27"/>
      <c r="AGC68" s="27"/>
      <c r="AGD68" s="27"/>
      <c r="AGE68" s="27"/>
      <c r="AGF68" s="27"/>
      <c r="AGG68" s="27"/>
      <c r="AGH68" s="27"/>
      <c r="AGI68" s="27"/>
      <c r="AGJ68" s="27"/>
      <c r="AGK68" s="27"/>
      <c r="AGL68" s="27"/>
      <c r="AGM68" s="27"/>
      <c r="AGN68" s="27"/>
      <c r="AGO68" s="27"/>
      <c r="AGP68" s="27"/>
      <c r="AGQ68" s="27"/>
      <c r="AGR68" s="27"/>
      <c r="AGS68" s="27"/>
      <c r="AGT68" s="27"/>
      <c r="AGU68" s="27"/>
      <c r="AGV68" s="27"/>
      <c r="AGW68" s="27"/>
      <c r="AGX68" s="27"/>
      <c r="AGY68" s="27"/>
      <c r="AGZ68" s="27"/>
      <c r="AHA68" s="27"/>
      <c r="AHB68" s="27"/>
      <c r="AHC68" s="27"/>
      <c r="AHD68" s="27"/>
      <c r="AHE68" s="27"/>
      <c r="AHF68" s="27"/>
      <c r="AHG68" s="27"/>
      <c r="AHH68" s="27"/>
      <c r="AHI68" s="27"/>
      <c r="AHJ68" s="27"/>
      <c r="AHK68" s="27"/>
      <c r="AHL68" s="27"/>
      <c r="AHM68" s="27"/>
      <c r="AHN68" s="27"/>
      <c r="AHO68" s="27"/>
      <c r="AHP68" s="27"/>
      <c r="AHQ68" s="27"/>
      <c r="AHR68" s="27"/>
      <c r="AHS68" s="27"/>
      <c r="AHT68" s="27"/>
      <c r="AHU68" s="27"/>
      <c r="AHV68" s="27"/>
      <c r="AHW68" s="27"/>
      <c r="AHX68" s="27"/>
      <c r="AHY68" s="27"/>
      <c r="AHZ68" s="27"/>
      <c r="AIA68" s="27"/>
      <c r="AIB68" s="27"/>
      <c r="AIC68" s="27"/>
      <c r="AID68" s="27"/>
      <c r="AIE68" s="27"/>
      <c r="AIF68" s="27"/>
      <c r="AIG68" s="27"/>
      <c r="AIH68" s="27"/>
      <c r="AII68" s="27"/>
      <c r="AIJ68" s="27"/>
      <c r="AIK68" s="27"/>
      <c r="AIL68" s="27"/>
      <c r="AIM68" s="27"/>
      <c r="AIN68" s="27"/>
      <c r="AIO68" s="27"/>
      <c r="AIP68" s="27"/>
      <c r="AIQ68" s="27"/>
      <c r="AIR68" s="27"/>
      <c r="AIS68" s="27"/>
      <c r="AIT68" s="27"/>
      <c r="AIU68" s="27"/>
      <c r="AIV68" s="27"/>
      <c r="AIW68" s="27"/>
      <c r="AIX68" s="27"/>
      <c r="AIY68" s="27"/>
      <c r="AIZ68" s="27"/>
      <c r="AJA68" s="27"/>
      <c r="AJB68" s="27"/>
      <c r="AJC68" s="27"/>
      <c r="AJD68" s="27"/>
      <c r="AJE68" s="27"/>
      <c r="AJF68" s="27"/>
      <c r="AJG68" s="27"/>
      <c r="AJH68" s="27"/>
      <c r="AJI68" s="27"/>
      <c r="AJJ68" s="27"/>
      <c r="AJK68" s="27"/>
      <c r="AJL68" s="27"/>
      <c r="AJM68" s="27"/>
      <c r="AJN68" s="27"/>
      <c r="AJO68" s="27"/>
      <c r="AJP68" s="27"/>
      <c r="AJQ68" s="27"/>
      <c r="AJR68" s="27"/>
      <c r="AJS68" s="27"/>
      <c r="AJT68" s="27"/>
      <c r="AJU68" s="27"/>
      <c r="AJV68" s="27"/>
      <c r="AJW68" s="27"/>
      <c r="AJX68" s="27"/>
      <c r="AJY68" s="27"/>
      <c r="AJZ68" s="27"/>
      <c r="AKA68" s="27"/>
      <c r="AKB68" s="27"/>
      <c r="AKC68" s="27"/>
      <c r="AKD68" s="27"/>
      <c r="AKE68" s="27"/>
      <c r="AKF68" s="27"/>
      <c r="AKG68" s="27"/>
      <c r="AKH68" s="27"/>
      <c r="AKI68" s="27"/>
      <c r="AKJ68" s="27"/>
      <c r="AKK68" s="27"/>
      <c r="AKL68" s="27"/>
      <c r="AKM68" s="27"/>
      <c r="AKN68" s="27"/>
      <c r="AKO68" s="27"/>
      <c r="AKP68" s="27"/>
      <c r="AKQ68" s="27"/>
      <c r="AKR68" s="27"/>
      <c r="AKS68" s="27"/>
      <c r="AKT68" s="27"/>
      <c r="AKU68" s="27"/>
      <c r="AKV68" s="27"/>
      <c r="AKW68" s="27"/>
      <c r="AKX68" s="27"/>
      <c r="AKY68" s="27"/>
      <c r="AKZ68" s="27"/>
      <c r="ALA68" s="27"/>
      <c r="ALB68" s="27"/>
      <c r="ALC68" s="27"/>
      <c r="ALD68" s="27"/>
      <c r="ALE68" s="27"/>
      <c r="ALF68" s="27"/>
      <c r="ALG68" s="27"/>
      <c r="ALH68" s="27"/>
      <c r="ALI68" s="27"/>
      <c r="ALJ68" s="27"/>
      <c r="ALK68" s="27"/>
      <c r="ALL68" s="27"/>
      <c r="ALM68" s="27"/>
      <c r="ALN68" s="27"/>
      <c r="ALO68" s="27"/>
      <c r="ALP68" s="27"/>
      <c r="ALQ68" s="27"/>
      <c r="ALR68" s="27"/>
      <c r="ALS68" s="27"/>
      <c r="ALT68" s="27"/>
      <c r="ALU68" s="27"/>
      <c r="ALV68" s="27"/>
      <c r="ALW68" s="27"/>
      <c r="ALX68" s="27"/>
      <c r="ALY68" s="27"/>
      <c r="ALZ68" s="27"/>
      <c r="AMA68" s="27"/>
      <c r="AMB68" s="27"/>
      <c r="AMC68" s="27"/>
      <c r="AMD68" s="27"/>
      <c r="AME68" s="27"/>
      <c r="AMF68" s="27"/>
      <c r="AMG68" s="27"/>
      <c r="AMH68" s="27"/>
      <c r="AMI68" s="27"/>
      <c r="AMJ68" s="27"/>
      <c r="AMK68" s="27"/>
    </row>
    <row r="69" spans="1:1025" ht="15" customHeight="1">
      <c r="A69" s="28" t="s">
        <v>15</v>
      </c>
      <c r="B69" s="103" t="s">
        <v>159</v>
      </c>
      <c r="C69" s="61" t="s">
        <v>160</v>
      </c>
      <c r="D69" s="55" t="s">
        <v>161</v>
      </c>
      <c r="E69" s="56">
        <v>1</v>
      </c>
      <c r="F69" s="91" t="b">
        <v>0</v>
      </c>
      <c r="G69" s="57">
        <v>0.5</v>
      </c>
      <c r="H69" s="57">
        <v>0.3</v>
      </c>
      <c r="I69" s="56" t="s">
        <v>73</v>
      </c>
      <c r="J69" s="56" t="s">
        <v>162</v>
      </c>
      <c r="K69" s="57">
        <v>0.5</v>
      </c>
      <c r="L69" s="57">
        <v>0.3</v>
      </c>
      <c r="M69" s="58">
        <f>L69*K69*F69</f>
        <v>0</v>
      </c>
      <c r="N69" s="34"/>
      <c r="O69" s="74"/>
      <c r="P69" s="58"/>
      <c r="Q69" s="16"/>
      <c r="R69" s="46"/>
      <c r="S69" s="50"/>
      <c r="T69" s="48"/>
      <c r="U69" s="48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  <c r="SG69" s="27"/>
      <c r="SH69" s="27"/>
      <c r="SI69" s="27"/>
      <c r="SJ69" s="27"/>
      <c r="SK69" s="27"/>
      <c r="SL69" s="27"/>
      <c r="SM69" s="27"/>
      <c r="SN69" s="27"/>
      <c r="SO69" s="27"/>
      <c r="SP69" s="27"/>
      <c r="SQ69" s="27"/>
      <c r="SR69" s="27"/>
      <c r="SS69" s="27"/>
      <c r="ST69" s="27"/>
      <c r="SU69" s="27"/>
      <c r="SV69" s="27"/>
      <c r="SW69" s="27"/>
      <c r="SX69" s="27"/>
      <c r="SY69" s="27"/>
      <c r="SZ69" s="27"/>
      <c r="TA69" s="27"/>
      <c r="TB69" s="27"/>
      <c r="TC69" s="27"/>
      <c r="TD69" s="27"/>
      <c r="TE69" s="27"/>
      <c r="TF69" s="27"/>
      <c r="TG69" s="27"/>
      <c r="TH69" s="27"/>
      <c r="TI69" s="27"/>
      <c r="TJ69" s="27"/>
      <c r="TK69" s="27"/>
      <c r="TL69" s="27"/>
      <c r="TM69" s="27"/>
      <c r="TN69" s="27"/>
      <c r="TO69" s="27"/>
      <c r="TP69" s="27"/>
      <c r="TQ69" s="27"/>
      <c r="TR69" s="27"/>
      <c r="TS69" s="27"/>
      <c r="TT69" s="27"/>
      <c r="TU69" s="27"/>
      <c r="TV69" s="27"/>
      <c r="TW69" s="27"/>
      <c r="TX69" s="27"/>
      <c r="TY69" s="27"/>
      <c r="TZ69" s="27"/>
      <c r="UA69" s="27"/>
      <c r="UB69" s="27"/>
      <c r="UC69" s="27"/>
      <c r="UD69" s="27"/>
      <c r="UE69" s="27"/>
      <c r="UF69" s="27"/>
      <c r="UG69" s="27"/>
      <c r="UH69" s="27"/>
      <c r="UI69" s="27"/>
      <c r="UJ69" s="27"/>
      <c r="UK69" s="27"/>
      <c r="UL69" s="27"/>
      <c r="UM69" s="27"/>
      <c r="UN69" s="27"/>
      <c r="UO69" s="27"/>
      <c r="UP69" s="27"/>
      <c r="UQ69" s="27"/>
      <c r="UR69" s="27"/>
      <c r="US69" s="27"/>
      <c r="UT69" s="27"/>
      <c r="UU69" s="27"/>
      <c r="UV69" s="27"/>
      <c r="UW69" s="27"/>
      <c r="UX69" s="27"/>
      <c r="UY69" s="27"/>
      <c r="UZ69" s="27"/>
      <c r="VA69" s="27"/>
      <c r="VB69" s="27"/>
      <c r="VC69" s="27"/>
      <c r="VD69" s="27"/>
      <c r="VE69" s="27"/>
      <c r="VF69" s="27"/>
      <c r="VG69" s="27"/>
      <c r="VH69" s="27"/>
      <c r="VI69" s="27"/>
      <c r="VJ69" s="27"/>
      <c r="VK69" s="27"/>
      <c r="VL69" s="27"/>
      <c r="VM69" s="27"/>
      <c r="VN69" s="27"/>
      <c r="VO69" s="27"/>
      <c r="VP69" s="27"/>
      <c r="VQ69" s="27"/>
      <c r="VR69" s="27"/>
      <c r="VS69" s="27"/>
      <c r="VT69" s="27"/>
      <c r="VU69" s="27"/>
      <c r="VV69" s="27"/>
      <c r="VW69" s="27"/>
      <c r="VX69" s="27"/>
      <c r="VY69" s="27"/>
      <c r="VZ69" s="27"/>
      <c r="WA69" s="27"/>
      <c r="WB69" s="27"/>
      <c r="WC69" s="27"/>
      <c r="WD69" s="27"/>
      <c r="WE69" s="27"/>
      <c r="WF69" s="27"/>
      <c r="WG69" s="27"/>
      <c r="WH69" s="27"/>
      <c r="WI69" s="27"/>
      <c r="WJ69" s="27"/>
      <c r="WK69" s="27"/>
      <c r="WL69" s="27"/>
      <c r="WM69" s="27"/>
      <c r="WN69" s="27"/>
      <c r="WO69" s="27"/>
      <c r="WP69" s="27"/>
      <c r="WQ69" s="27"/>
      <c r="WR69" s="27"/>
      <c r="WS69" s="27"/>
      <c r="WT69" s="27"/>
      <c r="WU69" s="27"/>
      <c r="WV69" s="27"/>
      <c r="WW69" s="27"/>
      <c r="WX69" s="27"/>
      <c r="WY69" s="27"/>
      <c r="WZ69" s="27"/>
      <c r="XA69" s="27"/>
      <c r="XB69" s="27"/>
      <c r="XC69" s="27"/>
      <c r="XD69" s="27"/>
      <c r="XE69" s="27"/>
      <c r="XF69" s="27"/>
      <c r="XG69" s="27"/>
      <c r="XH69" s="27"/>
      <c r="XI69" s="27"/>
      <c r="XJ69" s="27"/>
      <c r="XK69" s="27"/>
      <c r="XL69" s="27"/>
      <c r="XM69" s="27"/>
      <c r="XN69" s="27"/>
      <c r="XO69" s="27"/>
      <c r="XP69" s="27"/>
      <c r="XQ69" s="27"/>
      <c r="XR69" s="27"/>
      <c r="XS69" s="27"/>
      <c r="XT69" s="27"/>
      <c r="XU69" s="27"/>
      <c r="XV69" s="27"/>
      <c r="XW69" s="27"/>
      <c r="XX69" s="27"/>
      <c r="XY69" s="27"/>
      <c r="XZ69" s="27"/>
      <c r="YA69" s="27"/>
      <c r="YB69" s="27"/>
      <c r="YC69" s="27"/>
      <c r="YD69" s="27"/>
      <c r="YE69" s="27"/>
      <c r="YF69" s="27"/>
      <c r="YG69" s="27"/>
      <c r="YH69" s="27"/>
      <c r="YI69" s="27"/>
      <c r="YJ69" s="27"/>
      <c r="YK69" s="27"/>
      <c r="YL69" s="27"/>
      <c r="YM69" s="27"/>
      <c r="YN69" s="27"/>
      <c r="YO69" s="27"/>
      <c r="YP69" s="27"/>
      <c r="YQ69" s="27"/>
      <c r="YR69" s="27"/>
      <c r="YS69" s="27"/>
      <c r="YT69" s="27"/>
      <c r="YU69" s="27"/>
      <c r="YV69" s="27"/>
      <c r="YW69" s="27"/>
      <c r="YX69" s="27"/>
      <c r="YY69" s="27"/>
      <c r="YZ69" s="27"/>
      <c r="ZA69" s="27"/>
      <c r="ZB69" s="27"/>
      <c r="ZC69" s="27"/>
      <c r="ZD69" s="27"/>
      <c r="ZE69" s="27"/>
      <c r="ZF69" s="27"/>
      <c r="ZG69" s="27"/>
      <c r="ZH69" s="27"/>
      <c r="ZI69" s="27"/>
      <c r="ZJ69" s="27"/>
      <c r="ZK69" s="27"/>
      <c r="ZL69" s="27"/>
      <c r="ZM69" s="27"/>
      <c r="ZN69" s="27"/>
      <c r="ZO69" s="27"/>
      <c r="ZP69" s="27"/>
      <c r="ZQ69" s="27"/>
      <c r="ZR69" s="27"/>
      <c r="ZS69" s="27"/>
      <c r="ZT69" s="27"/>
      <c r="ZU69" s="27"/>
      <c r="ZV69" s="27"/>
      <c r="ZW69" s="27"/>
      <c r="ZX69" s="27"/>
      <c r="ZY69" s="27"/>
      <c r="ZZ69" s="27"/>
      <c r="AAA69" s="27"/>
      <c r="AAB69" s="27"/>
      <c r="AAC69" s="27"/>
      <c r="AAD69" s="27"/>
      <c r="AAE69" s="27"/>
      <c r="AAF69" s="27"/>
      <c r="AAG69" s="27"/>
      <c r="AAH69" s="27"/>
      <c r="AAI69" s="27"/>
      <c r="AAJ69" s="27"/>
      <c r="AAK69" s="27"/>
      <c r="AAL69" s="27"/>
      <c r="AAM69" s="27"/>
      <c r="AAN69" s="27"/>
      <c r="AAO69" s="27"/>
      <c r="AAP69" s="27"/>
      <c r="AAQ69" s="27"/>
      <c r="AAR69" s="27"/>
      <c r="AAS69" s="27"/>
      <c r="AAT69" s="27"/>
      <c r="AAU69" s="27"/>
      <c r="AAV69" s="27"/>
      <c r="AAW69" s="27"/>
      <c r="AAX69" s="27"/>
      <c r="AAY69" s="27"/>
      <c r="AAZ69" s="27"/>
      <c r="ABA69" s="27"/>
      <c r="ABB69" s="27"/>
      <c r="ABC69" s="27"/>
      <c r="ABD69" s="27"/>
      <c r="ABE69" s="27"/>
      <c r="ABF69" s="27"/>
      <c r="ABG69" s="27"/>
      <c r="ABH69" s="27"/>
      <c r="ABI69" s="27"/>
      <c r="ABJ69" s="27"/>
      <c r="ABK69" s="27"/>
      <c r="ABL69" s="27"/>
      <c r="ABM69" s="27"/>
      <c r="ABN69" s="27"/>
      <c r="ABO69" s="27"/>
      <c r="ABP69" s="27"/>
      <c r="ABQ69" s="27"/>
      <c r="ABR69" s="27"/>
      <c r="ABS69" s="27"/>
      <c r="ABT69" s="27"/>
      <c r="ABU69" s="27"/>
      <c r="ABV69" s="27"/>
      <c r="ABW69" s="27"/>
      <c r="ABX69" s="27"/>
      <c r="ABY69" s="27"/>
      <c r="ABZ69" s="27"/>
      <c r="ACA69" s="27"/>
      <c r="ACB69" s="27"/>
      <c r="ACC69" s="27"/>
      <c r="ACD69" s="27"/>
      <c r="ACE69" s="27"/>
      <c r="ACF69" s="27"/>
      <c r="ACG69" s="27"/>
      <c r="ACH69" s="27"/>
      <c r="ACI69" s="27"/>
      <c r="ACJ69" s="27"/>
      <c r="ACK69" s="27"/>
      <c r="ACL69" s="27"/>
      <c r="ACM69" s="27"/>
      <c r="ACN69" s="27"/>
      <c r="ACO69" s="27"/>
      <c r="ACP69" s="27"/>
      <c r="ACQ69" s="27"/>
      <c r="ACR69" s="27"/>
      <c r="ACS69" s="27"/>
      <c r="ACT69" s="27"/>
      <c r="ACU69" s="27"/>
      <c r="ACV69" s="27"/>
      <c r="ACW69" s="27"/>
      <c r="ACX69" s="27"/>
      <c r="ACY69" s="27"/>
      <c r="ACZ69" s="27"/>
      <c r="ADA69" s="27"/>
      <c r="ADB69" s="27"/>
      <c r="ADC69" s="27"/>
      <c r="ADD69" s="27"/>
      <c r="ADE69" s="27"/>
      <c r="ADF69" s="27"/>
      <c r="ADG69" s="27"/>
      <c r="ADH69" s="27"/>
      <c r="ADI69" s="27"/>
      <c r="ADJ69" s="27"/>
      <c r="ADK69" s="27"/>
      <c r="ADL69" s="27"/>
      <c r="ADM69" s="27"/>
      <c r="ADN69" s="27"/>
      <c r="ADO69" s="27"/>
      <c r="ADP69" s="27"/>
      <c r="ADQ69" s="27"/>
      <c r="ADR69" s="27"/>
      <c r="ADS69" s="27"/>
      <c r="ADT69" s="27"/>
      <c r="ADU69" s="27"/>
      <c r="ADV69" s="27"/>
      <c r="ADW69" s="27"/>
      <c r="ADX69" s="27"/>
      <c r="ADY69" s="27"/>
      <c r="ADZ69" s="27"/>
      <c r="AEA69" s="27"/>
      <c r="AEB69" s="27"/>
      <c r="AEC69" s="27"/>
      <c r="AED69" s="27"/>
      <c r="AEE69" s="27"/>
      <c r="AEF69" s="27"/>
      <c r="AEG69" s="27"/>
      <c r="AEH69" s="27"/>
      <c r="AEI69" s="27"/>
      <c r="AEJ69" s="27"/>
      <c r="AEK69" s="27"/>
      <c r="AEL69" s="27"/>
      <c r="AEM69" s="27"/>
      <c r="AEN69" s="27"/>
      <c r="AEO69" s="27"/>
      <c r="AEP69" s="27"/>
      <c r="AEQ69" s="27"/>
      <c r="AER69" s="27"/>
      <c r="AES69" s="27"/>
      <c r="AET69" s="27"/>
      <c r="AEU69" s="27"/>
      <c r="AEV69" s="27"/>
      <c r="AEW69" s="27"/>
      <c r="AEX69" s="27"/>
      <c r="AEY69" s="27"/>
      <c r="AEZ69" s="27"/>
      <c r="AFA69" s="27"/>
      <c r="AFB69" s="27"/>
      <c r="AFC69" s="27"/>
      <c r="AFD69" s="27"/>
      <c r="AFE69" s="27"/>
      <c r="AFF69" s="27"/>
      <c r="AFG69" s="27"/>
      <c r="AFH69" s="27"/>
      <c r="AFI69" s="27"/>
      <c r="AFJ69" s="27"/>
      <c r="AFK69" s="27"/>
      <c r="AFL69" s="27"/>
      <c r="AFM69" s="27"/>
      <c r="AFN69" s="27"/>
      <c r="AFO69" s="27"/>
      <c r="AFP69" s="27"/>
      <c r="AFQ69" s="27"/>
      <c r="AFR69" s="27"/>
      <c r="AFS69" s="27"/>
      <c r="AFT69" s="27"/>
      <c r="AFU69" s="27"/>
      <c r="AFV69" s="27"/>
      <c r="AFW69" s="27"/>
      <c r="AFX69" s="27"/>
      <c r="AFY69" s="27"/>
      <c r="AFZ69" s="27"/>
      <c r="AGA69" s="27"/>
      <c r="AGB69" s="27"/>
      <c r="AGC69" s="27"/>
      <c r="AGD69" s="27"/>
      <c r="AGE69" s="27"/>
      <c r="AGF69" s="27"/>
      <c r="AGG69" s="27"/>
      <c r="AGH69" s="27"/>
      <c r="AGI69" s="27"/>
      <c r="AGJ69" s="27"/>
      <c r="AGK69" s="27"/>
      <c r="AGL69" s="27"/>
      <c r="AGM69" s="27"/>
      <c r="AGN69" s="27"/>
      <c r="AGO69" s="27"/>
      <c r="AGP69" s="27"/>
      <c r="AGQ69" s="27"/>
      <c r="AGR69" s="27"/>
      <c r="AGS69" s="27"/>
      <c r="AGT69" s="27"/>
      <c r="AGU69" s="27"/>
      <c r="AGV69" s="27"/>
      <c r="AGW69" s="27"/>
      <c r="AGX69" s="27"/>
      <c r="AGY69" s="27"/>
      <c r="AGZ69" s="27"/>
      <c r="AHA69" s="27"/>
      <c r="AHB69" s="27"/>
      <c r="AHC69" s="27"/>
      <c r="AHD69" s="27"/>
      <c r="AHE69" s="27"/>
      <c r="AHF69" s="27"/>
      <c r="AHG69" s="27"/>
      <c r="AHH69" s="27"/>
      <c r="AHI69" s="27"/>
      <c r="AHJ69" s="27"/>
      <c r="AHK69" s="27"/>
      <c r="AHL69" s="27"/>
      <c r="AHM69" s="27"/>
      <c r="AHN69" s="27"/>
      <c r="AHO69" s="27"/>
      <c r="AHP69" s="27"/>
      <c r="AHQ69" s="27"/>
      <c r="AHR69" s="27"/>
      <c r="AHS69" s="27"/>
      <c r="AHT69" s="27"/>
      <c r="AHU69" s="27"/>
      <c r="AHV69" s="27"/>
      <c r="AHW69" s="27"/>
      <c r="AHX69" s="27"/>
      <c r="AHY69" s="27"/>
      <c r="AHZ69" s="27"/>
      <c r="AIA69" s="27"/>
      <c r="AIB69" s="27"/>
      <c r="AIC69" s="27"/>
      <c r="AID69" s="27"/>
      <c r="AIE69" s="27"/>
      <c r="AIF69" s="27"/>
      <c r="AIG69" s="27"/>
      <c r="AIH69" s="27"/>
      <c r="AII69" s="27"/>
      <c r="AIJ69" s="27"/>
      <c r="AIK69" s="27"/>
      <c r="AIL69" s="27"/>
      <c r="AIM69" s="27"/>
      <c r="AIN69" s="27"/>
      <c r="AIO69" s="27"/>
      <c r="AIP69" s="27"/>
      <c r="AIQ69" s="27"/>
      <c r="AIR69" s="27"/>
      <c r="AIS69" s="27"/>
      <c r="AIT69" s="27"/>
      <c r="AIU69" s="27"/>
      <c r="AIV69" s="27"/>
      <c r="AIW69" s="27"/>
      <c r="AIX69" s="27"/>
      <c r="AIY69" s="27"/>
      <c r="AIZ69" s="27"/>
      <c r="AJA69" s="27"/>
      <c r="AJB69" s="27"/>
      <c r="AJC69" s="27"/>
      <c r="AJD69" s="27"/>
      <c r="AJE69" s="27"/>
      <c r="AJF69" s="27"/>
      <c r="AJG69" s="27"/>
      <c r="AJH69" s="27"/>
      <c r="AJI69" s="27"/>
      <c r="AJJ69" s="27"/>
      <c r="AJK69" s="27"/>
      <c r="AJL69" s="27"/>
      <c r="AJM69" s="27"/>
      <c r="AJN69" s="27"/>
      <c r="AJO69" s="27"/>
      <c r="AJP69" s="27"/>
      <c r="AJQ69" s="27"/>
      <c r="AJR69" s="27"/>
      <c r="AJS69" s="27"/>
      <c r="AJT69" s="27"/>
      <c r="AJU69" s="27"/>
      <c r="AJV69" s="27"/>
      <c r="AJW69" s="27"/>
      <c r="AJX69" s="27"/>
      <c r="AJY69" s="27"/>
      <c r="AJZ69" s="27"/>
      <c r="AKA69" s="27"/>
      <c r="AKB69" s="27"/>
      <c r="AKC69" s="27"/>
      <c r="AKD69" s="27"/>
      <c r="AKE69" s="27"/>
      <c r="AKF69" s="27"/>
      <c r="AKG69" s="27"/>
      <c r="AKH69" s="27"/>
      <c r="AKI69" s="27"/>
      <c r="AKJ69" s="27"/>
      <c r="AKK69" s="27"/>
      <c r="AKL69" s="27"/>
      <c r="AKM69" s="27"/>
      <c r="AKN69" s="27"/>
      <c r="AKO69" s="27"/>
      <c r="AKP69" s="27"/>
      <c r="AKQ69" s="27"/>
      <c r="AKR69" s="27"/>
      <c r="AKS69" s="27"/>
      <c r="AKT69" s="27"/>
      <c r="AKU69" s="27"/>
      <c r="AKV69" s="27"/>
      <c r="AKW69" s="27"/>
      <c r="AKX69" s="27"/>
      <c r="AKY69" s="27"/>
      <c r="AKZ69" s="27"/>
      <c r="ALA69" s="27"/>
      <c r="ALB69" s="27"/>
      <c r="ALC69" s="27"/>
      <c r="ALD69" s="27"/>
      <c r="ALE69" s="27"/>
      <c r="ALF69" s="27"/>
      <c r="ALG69" s="27"/>
      <c r="ALH69" s="27"/>
      <c r="ALI69" s="27"/>
      <c r="ALJ69" s="27"/>
      <c r="ALK69" s="27"/>
      <c r="ALL69" s="27"/>
      <c r="ALM69" s="27"/>
      <c r="ALN69" s="27"/>
      <c r="ALO69" s="27"/>
      <c r="ALP69" s="27"/>
      <c r="ALQ69" s="27"/>
      <c r="ALR69" s="27"/>
      <c r="ALS69" s="27"/>
      <c r="ALT69" s="27"/>
      <c r="ALU69" s="27"/>
      <c r="ALV69" s="27"/>
      <c r="ALW69" s="27"/>
      <c r="ALX69" s="27"/>
      <c r="ALY69" s="27"/>
      <c r="ALZ69" s="27"/>
      <c r="AMA69" s="27"/>
      <c r="AMB69" s="27"/>
      <c r="AMC69" s="27"/>
      <c r="AMD69" s="27"/>
      <c r="AME69" s="27"/>
      <c r="AMF69" s="27"/>
      <c r="AMG69" s="27"/>
      <c r="AMH69" s="27"/>
      <c r="AMI69" s="27"/>
      <c r="AMJ69" s="27"/>
      <c r="AMK69" s="27"/>
    </row>
    <row r="70" spans="1:1025" ht="15" customHeight="1">
      <c r="A70" s="28" t="s">
        <v>15</v>
      </c>
      <c r="B70" s="103"/>
      <c r="C70" s="61" t="s">
        <v>163</v>
      </c>
      <c r="D70" s="92" t="s">
        <v>164</v>
      </c>
      <c r="E70" s="56">
        <v>2</v>
      </c>
      <c r="F70" s="91" t="b">
        <v>0</v>
      </c>
      <c r="G70" s="57">
        <v>0.5</v>
      </c>
      <c r="H70" s="57">
        <v>0.3</v>
      </c>
      <c r="I70" s="56" t="s">
        <v>73</v>
      </c>
      <c r="J70" s="56" t="s">
        <v>162</v>
      </c>
      <c r="K70" s="97">
        <v>0.5</v>
      </c>
      <c r="L70" s="97">
        <v>0.3</v>
      </c>
      <c r="M70" s="54">
        <f t="shared" ref="M70:M72" si="11">L70*K70*E70</f>
        <v>0.3</v>
      </c>
      <c r="N70" s="34"/>
      <c r="O70" s="74"/>
      <c r="P70" s="80"/>
      <c r="Q70" s="16"/>
      <c r="R70" s="46"/>
      <c r="S70" s="50"/>
      <c r="T70" s="48"/>
      <c r="U70" s="48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  <c r="NO70" s="27"/>
      <c r="NP70" s="27"/>
      <c r="NQ70" s="27"/>
      <c r="NR70" s="27"/>
      <c r="NS70" s="27"/>
      <c r="NT70" s="27"/>
      <c r="NU70" s="27"/>
      <c r="NV70" s="27"/>
      <c r="NW70" s="27"/>
      <c r="NX70" s="27"/>
      <c r="NY70" s="27"/>
      <c r="NZ70" s="27"/>
      <c r="OA70" s="27"/>
      <c r="OB70" s="27"/>
      <c r="OC70" s="27"/>
      <c r="OD70" s="27"/>
      <c r="OE70" s="27"/>
      <c r="OF70" s="27"/>
      <c r="OG70" s="27"/>
      <c r="OH70" s="27"/>
      <c r="OI70" s="27"/>
      <c r="OJ70" s="27"/>
      <c r="OK70" s="27"/>
      <c r="OL70" s="27"/>
      <c r="OM70" s="27"/>
      <c r="ON70" s="27"/>
      <c r="OO70" s="27"/>
      <c r="OP70" s="27"/>
      <c r="OQ70" s="27"/>
      <c r="OR70" s="27"/>
      <c r="OS70" s="27"/>
      <c r="OT70" s="27"/>
      <c r="OU70" s="27"/>
      <c r="OV70" s="27"/>
      <c r="OW70" s="27"/>
      <c r="OX70" s="27"/>
      <c r="OY70" s="27"/>
      <c r="OZ70" s="27"/>
      <c r="PA70" s="27"/>
      <c r="PB70" s="27"/>
      <c r="PC70" s="27"/>
      <c r="PD70" s="27"/>
      <c r="PE70" s="27"/>
      <c r="PF70" s="27"/>
      <c r="PG70" s="27"/>
      <c r="PH70" s="27"/>
      <c r="PI70" s="27"/>
      <c r="PJ70" s="27"/>
      <c r="PK70" s="27"/>
      <c r="PL70" s="27"/>
      <c r="PM70" s="27"/>
      <c r="PN70" s="27"/>
      <c r="PO70" s="27"/>
      <c r="PP70" s="27"/>
      <c r="PQ70" s="27"/>
      <c r="PR70" s="27"/>
      <c r="PS70" s="27"/>
      <c r="PT70" s="27"/>
      <c r="PU70" s="27"/>
      <c r="PV70" s="27"/>
      <c r="PW70" s="27"/>
      <c r="PX70" s="27"/>
      <c r="PY70" s="27"/>
      <c r="PZ70" s="27"/>
      <c r="QA70" s="27"/>
      <c r="QB70" s="27"/>
      <c r="QC70" s="27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7"/>
      <c r="QR70" s="27"/>
      <c r="QS70" s="27"/>
      <c r="QT70" s="27"/>
      <c r="QU70" s="27"/>
      <c r="QV70" s="27"/>
      <c r="QW70" s="27"/>
      <c r="QX70" s="27"/>
      <c r="QY70" s="27"/>
      <c r="QZ70" s="27"/>
      <c r="RA70" s="27"/>
      <c r="RB70" s="27"/>
      <c r="RC70" s="27"/>
      <c r="RD70" s="27"/>
      <c r="RE70" s="27"/>
      <c r="RF70" s="27"/>
      <c r="RG70" s="27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7"/>
      <c r="RT70" s="27"/>
      <c r="RU70" s="27"/>
      <c r="RV70" s="27"/>
      <c r="RW70" s="27"/>
      <c r="RX70" s="27"/>
      <c r="RY70" s="27"/>
      <c r="RZ70" s="27"/>
      <c r="SA70" s="27"/>
      <c r="SB70" s="27"/>
      <c r="SC70" s="27"/>
      <c r="SD70" s="27"/>
      <c r="SE70" s="27"/>
      <c r="SF70" s="27"/>
      <c r="SG70" s="27"/>
      <c r="SH70" s="27"/>
      <c r="SI70" s="27"/>
      <c r="SJ70" s="27"/>
      <c r="SK70" s="27"/>
      <c r="SL70" s="27"/>
      <c r="SM70" s="27"/>
      <c r="SN70" s="27"/>
      <c r="SO70" s="27"/>
      <c r="SP70" s="27"/>
      <c r="SQ70" s="27"/>
      <c r="SR70" s="27"/>
      <c r="SS70" s="27"/>
      <c r="ST70" s="27"/>
      <c r="SU70" s="27"/>
      <c r="SV70" s="27"/>
      <c r="SW70" s="27"/>
      <c r="SX70" s="27"/>
      <c r="SY70" s="27"/>
      <c r="SZ70" s="27"/>
      <c r="TA70" s="27"/>
      <c r="TB70" s="27"/>
      <c r="TC70" s="27"/>
      <c r="TD70" s="27"/>
      <c r="TE70" s="27"/>
      <c r="TF70" s="27"/>
      <c r="TG70" s="27"/>
      <c r="TH70" s="27"/>
      <c r="TI70" s="27"/>
      <c r="TJ70" s="27"/>
      <c r="TK70" s="27"/>
      <c r="TL70" s="27"/>
      <c r="TM70" s="27"/>
      <c r="TN70" s="27"/>
      <c r="TO70" s="27"/>
      <c r="TP70" s="27"/>
      <c r="TQ70" s="27"/>
      <c r="TR70" s="27"/>
      <c r="TS70" s="27"/>
      <c r="TT70" s="27"/>
      <c r="TU70" s="27"/>
      <c r="TV70" s="27"/>
      <c r="TW70" s="27"/>
      <c r="TX70" s="27"/>
      <c r="TY70" s="27"/>
      <c r="TZ70" s="27"/>
      <c r="UA70" s="27"/>
      <c r="UB70" s="27"/>
      <c r="UC70" s="27"/>
      <c r="UD70" s="27"/>
      <c r="UE70" s="27"/>
      <c r="UF70" s="27"/>
      <c r="UG70" s="27"/>
      <c r="UH70" s="27"/>
      <c r="UI70" s="27"/>
      <c r="UJ70" s="27"/>
      <c r="UK70" s="27"/>
      <c r="UL70" s="27"/>
      <c r="UM70" s="27"/>
      <c r="UN70" s="27"/>
      <c r="UO70" s="27"/>
      <c r="UP70" s="27"/>
      <c r="UQ70" s="27"/>
      <c r="UR70" s="27"/>
      <c r="US70" s="27"/>
      <c r="UT70" s="27"/>
      <c r="UU70" s="27"/>
      <c r="UV70" s="27"/>
      <c r="UW70" s="27"/>
      <c r="UX70" s="27"/>
      <c r="UY70" s="27"/>
      <c r="UZ70" s="27"/>
      <c r="VA70" s="27"/>
      <c r="VB70" s="27"/>
      <c r="VC70" s="27"/>
      <c r="VD70" s="27"/>
      <c r="VE70" s="27"/>
      <c r="VF70" s="27"/>
      <c r="VG70" s="27"/>
      <c r="VH70" s="27"/>
      <c r="VI70" s="27"/>
      <c r="VJ70" s="27"/>
      <c r="VK70" s="27"/>
      <c r="VL70" s="27"/>
      <c r="VM70" s="27"/>
      <c r="VN70" s="27"/>
      <c r="VO70" s="27"/>
      <c r="VP70" s="27"/>
      <c r="VQ70" s="27"/>
      <c r="VR70" s="27"/>
      <c r="VS70" s="27"/>
      <c r="VT70" s="27"/>
      <c r="VU70" s="27"/>
      <c r="VV70" s="27"/>
      <c r="VW70" s="27"/>
      <c r="VX70" s="27"/>
      <c r="VY70" s="27"/>
      <c r="VZ70" s="27"/>
      <c r="WA70" s="27"/>
      <c r="WB70" s="27"/>
      <c r="WC70" s="27"/>
      <c r="WD70" s="27"/>
      <c r="WE70" s="27"/>
      <c r="WF70" s="27"/>
      <c r="WG70" s="27"/>
      <c r="WH70" s="27"/>
      <c r="WI70" s="27"/>
      <c r="WJ70" s="27"/>
      <c r="WK70" s="27"/>
      <c r="WL70" s="27"/>
      <c r="WM70" s="27"/>
      <c r="WN70" s="27"/>
      <c r="WO70" s="27"/>
      <c r="WP70" s="27"/>
      <c r="WQ70" s="27"/>
      <c r="WR70" s="27"/>
      <c r="WS70" s="27"/>
      <c r="WT70" s="27"/>
      <c r="WU70" s="27"/>
      <c r="WV70" s="27"/>
      <c r="WW70" s="27"/>
      <c r="WX70" s="27"/>
      <c r="WY70" s="27"/>
      <c r="WZ70" s="27"/>
      <c r="XA70" s="27"/>
      <c r="XB70" s="27"/>
      <c r="XC70" s="27"/>
      <c r="XD70" s="27"/>
      <c r="XE70" s="27"/>
      <c r="XF70" s="27"/>
      <c r="XG70" s="27"/>
      <c r="XH70" s="27"/>
      <c r="XI70" s="27"/>
      <c r="XJ70" s="27"/>
      <c r="XK70" s="27"/>
      <c r="XL70" s="27"/>
      <c r="XM70" s="27"/>
      <c r="XN70" s="27"/>
      <c r="XO70" s="27"/>
      <c r="XP70" s="27"/>
      <c r="XQ70" s="27"/>
      <c r="XR70" s="27"/>
      <c r="XS70" s="27"/>
      <c r="XT70" s="27"/>
      <c r="XU70" s="27"/>
      <c r="XV70" s="27"/>
      <c r="XW70" s="27"/>
      <c r="XX70" s="27"/>
      <c r="XY70" s="27"/>
      <c r="XZ70" s="27"/>
      <c r="YA70" s="27"/>
      <c r="YB70" s="27"/>
      <c r="YC70" s="27"/>
      <c r="YD70" s="27"/>
      <c r="YE70" s="27"/>
      <c r="YF70" s="27"/>
      <c r="YG70" s="27"/>
      <c r="YH70" s="27"/>
      <c r="YI70" s="27"/>
      <c r="YJ70" s="27"/>
      <c r="YK70" s="27"/>
      <c r="YL70" s="27"/>
      <c r="YM70" s="27"/>
      <c r="YN70" s="27"/>
      <c r="YO70" s="27"/>
      <c r="YP70" s="27"/>
      <c r="YQ70" s="27"/>
      <c r="YR70" s="27"/>
      <c r="YS70" s="27"/>
      <c r="YT70" s="27"/>
      <c r="YU70" s="27"/>
      <c r="YV70" s="27"/>
      <c r="YW70" s="27"/>
      <c r="YX70" s="27"/>
      <c r="YY70" s="27"/>
      <c r="YZ70" s="27"/>
      <c r="ZA70" s="27"/>
      <c r="ZB70" s="27"/>
      <c r="ZC70" s="27"/>
      <c r="ZD70" s="27"/>
      <c r="ZE70" s="27"/>
      <c r="ZF70" s="27"/>
      <c r="ZG70" s="27"/>
      <c r="ZH70" s="27"/>
      <c r="ZI70" s="27"/>
      <c r="ZJ70" s="27"/>
      <c r="ZK70" s="27"/>
      <c r="ZL70" s="27"/>
      <c r="ZM70" s="27"/>
      <c r="ZN70" s="27"/>
      <c r="ZO70" s="27"/>
      <c r="ZP70" s="27"/>
      <c r="ZQ70" s="27"/>
      <c r="ZR70" s="27"/>
      <c r="ZS70" s="27"/>
      <c r="ZT70" s="27"/>
      <c r="ZU70" s="27"/>
      <c r="ZV70" s="27"/>
      <c r="ZW70" s="27"/>
      <c r="ZX70" s="27"/>
      <c r="ZY70" s="27"/>
      <c r="ZZ70" s="27"/>
      <c r="AAA70" s="27"/>
      <c r="AAB70" s="27"/>
      <c r="AAC70" s="27"/>
      <c r="AAD70" s="27"/>
      <c r="AAE70" s="27"/>
      <c r="AAF70" s="27"/>
      <c r="AAG70" s="27"/>
      <c r="AAH70" s="27"/>
      <c r="AAI70" s="27"/>
      <c r="AAJ70" s="27"/>
      <c r="AAK70" s="27"/>
      <c r="AAL70" s="27"/>
      <c r="AAM70" s="27"/>
      <c r="AAN70" s="27"/>
      <c r="AAO70" s="27"/>
      <c r="AAP70" s="27"/>
      <c r="AAQ70" s="27"/>
      <c r="AAR70" s="27"/>
      <c r="AAS70" s="27"/>
      <c r="AAT70" s="27"/>
      <c r="AAU70" s="27"/>
      <c r="AAV70" s="27"/>
      <c r="AAW70" s="27"/>
      <c r="AAX70" s="27"/>
      <c r="AAY70" s="27"/>
      <c r="AAZ70" s="27"/>
      <c r="ABA70" s="27"/>
      <c r="ABB70" s="27"/>
      <c r="ABC70" s="27"/>
      <c r="ABD70" s="27"/>
      <c r="ABE70" s="27"/>
      <c r="ABF70" s="27"/>
      <c r="ABG70" s="27"/>
      <c r="ABH70" s="27"/>
      <c r="ABI70" s="27"/>
      <c r="ABJ70" s="27"/>
      <c r="ABK70" s="27"/>
      <c r="ABL70" s="27"/>
      <c r="ABM70" s="27"/>
      <c r="ABN70" s="27"/>
      <c r="ABO70" s="27"/>
      <c r="ABP70" s="27"/>
      <c r="ABQ70" s="27"/>
      <c r="ABR70" s="27"/>
      <c r="ABS70" s="27"/>
      <c r="ABT70" s="27"/>
      <c r="ABU70" s="27"/>
      <c r="ABV70" s="27"/>
      <c r="ABW70" s="27"/>
      <c r="ABX70" s="27"/>
      <c r="ABY70" s="27"/>
      <c r="ABZ70" s="27"/>
      <c r="ACA70" s="27"/>
      <c r="ACB70" s="27"/>
      <c r="ACC70" s="27"/>
      <c r="ACD70" s="27"/>
      <c r="ACE70" s="27"/>
      <c r="ACF70" s="27"/>
      <c r="ACG70" s="27"/>
      <c r="ACH70" s="27"/>
      <c r="ACI70" s="27"/>
      <c r="ACJ70" s="27"/>
      <c r="ACK70" s="27"/>
      <c r="ACL70" s="27"/>
      <c r="ACM70" s="27"/>
      <c r="ACN70" s="27"/>
      <c r="ACO70" s="27"/>
      <c r="ACP70" s="27"/>
      <c r="ACQ70" s="27"/>
      <c r="ACR70" s="27"/>
      <c r="ACS70" s="27"/>
      <c r="ACT70" s="27"/>
      <c r="ACU70" s="27"/>
      <c r="ACV70" s="27"/>
      <c r="ACW70" s="27"/>
      <c r="ACX70" s="27"/>
      <c r="ACY70" s="27"/>
      <c r="ACZ70" s="27"/>
      <c r="ADA70" s="27"/>
      <c r="ADB70" s="27"/>
      <c r="ADC70" s="27"/>
      <c r="ADD70" s="27"/>
      <c r="ADE70" s="27"/>
      <c r="ADF70" s="27"/>
      <c r="ADG70" s="27"/>
      <c r="ADH70" s="27"/>
      <c r="ADI70" s="27"/>
      <c r="ADJ70" s="27"/>
      <c r="ADK70" s="27"/>
      <c r="ADL70" s="27"/>
      <c r="ADM70" s="27"/>
      <c r="ADN70" s="27"/>
      <c r="ADO70" s="27"/>
      <c r="ADP70" s="27"/>
      <c r="ADQ70" s="27"/>
      <c r="ADR70" s="27"/>
      <c r="ADS70" s="27"/>
      <c r="ADT70" s="27"/>
      <c r="ADU70" s="27"/>
      <c r="ADV70" s="27"/>
      <c r="ADW70" s="27"/>
      <c r="ADX70" s="27"/>
      <c r="ADY70" s="27"/>
      <c r="ADZ70" s="27"/>
      <c r="AEA70" s="27"/>
      <c r="AEB70" s="27"/>
      <c r="AEC70" s="27"/>
      <c r="AED70" s="27"/>
      <c r="AEE70" s="27"/>
      <c r="AEF70" s="27"/>
      <c r="AEG70" s="27"/>
      <c r="AEH70" s="27"/>
      <c r="AEI70" s="27"/>
      <c r="AEJ70" s="27"/>
      <c r="AEK70" s="27"/>
      <c r="AEL70" s="27"/>
      <c r="AEM70" s="27"/>
      <c r="AEN70" s="27"/>
      <c r="AEO70" s="27"/>
      <c r="AEP70" s="27"/>
      <c r="AEQ70" s="27"/>
      <c r="AER70" s="27"/>
      <c r="AES70" s="27"/>
      <c r="AET70" s="27"/>
      <c r="AEU70" s="27"/>
      <c r="AEV70" s="27"/>
      <c r="AEW70" s="27"/>
      <c r="AEX70" s="27"/>
      <c r="AEY70" s="27"/>
      <c r="AEZ70" s="27"/>
      <c r="AFA70" s="27"/>
      <c r="AFB70" s="27"/>
      <c r="AFC70" s="27"/>
      <c r="AFD70" s="27"/>
      <c r="AFE70" s="27"/>
      <c r="AFF70" s="27"/>
      <c r="AFG70" s="27"/>
      <c r="AFH70" s="27"/>
      <c r="AFI70" s="27"/>
      <c r="AFJ70" s="27"/>
      <c r="AFK70" s="27"/>
      <c r="AFL70" s="27"/>
      <c r="AFM70" s="27"/>
      <c r="AFN70" s="27"/>
      <c r="AFO70" s="27"/>
      <c r="AFP70" s="27"/>
      <c r="AFQ70" s="27"/>
      <c r="AFR70" s="27"/>
      <c r="AFS70" s="27"/>
      <c r="AFT70" s="27"/>
      <c r="AFU70" s="27"/>
      <c r="AFV70" s="27"/>
      <c r="AFW70" s="27"/>
      <c r="AFX70" s="27"/>
      <c r="AFY70" s="27"/>
      <c r="AFZ70" s="27"/>
      <c r="AGA70" s="27"/>
      <c r="AGB70" s="27"/>
      <c r="AGC70" s="27"/>
      <c r="AGD70" s="27"/>
      <c r="AGE70" s="27"/>
      <c r="AGF70" s="27"/>
      <c r="AGG70" s="27"/>
      <c r="AGH70" s="27"/>
      <c r="AGI70" s="27"/>
      <c r="AGJ70" s="27"/>
      <c r="AGK70" s="27"/>
      <c r="AGL70" s="27"/>
      <c r="AGM70" s="27"/>
      <c r="AGN70" s="27"/>
      <c r="AGO70" s="27"/>
      <c r="AGP70" s="27"/>
      <c r="AGQ70" s="27"/>
      <c r="AGR70" s="27"/>
      <c r="AGS70" s="27"/>
      <c r="AGT70" s="27"/>
      <c r="AGU70" s="27"/>
      <c r="AGV70" s="27"/>
      <c r="AGW70" s="27"/>
      <c r="AGX70" s="27"/>
      <c r="AGY70" s="27"/>
      <c r="AGZ70" s="27"/>
      <c r="AHA70" s="27"/>
      <c r="AHB70" s="27"/>
      <c r="AHC70" s="27"/>
      <c r="AHD70" s="27"/>
      <c r="AHE70" s="27"/>
      <c r="AHF70" s="27"/>
      <c r="AHG70" s="27"/>
      <c r="AHH70" s="27"/>
      <c r="AHI70" s="27"/>
      <c r="AHJ70" s="27"/>
      <c r="AHK70" s="27"/>
      <c r="AHL70" s="27"/>
      <c r="AHM70" s="27"/>
      <c r="AHN70" s="27"/>
      <c r="AHO70" s="27"/>
      <c r="AHP70" s="27"/>
      <c r="AHQ70" s="27"/>
      <c r="AHR70" s="27"/>
      <c r="AHS70" s="27"/>
      <c r="AHT70" s="27"/>
      <c r="AHU70" s="27"/>
      <c r="AHV70" s="27"/>
      <c r="AHW70" s="27"/>
      <c r="AHX70" s="27"/>
      <c r="AHY70" s="27"/>
      <c r="AHZ70" s="27"/>
      <c r="AIA70" s="27"/>
      <c r="AIB70" s="27"/>
      <c r="AIC70" s="27"/>
      <c r="AID70" s="27"/>
      <c r="AIE70" s="27"/>
      <c r="AIF70" s="27"/>
      <c r="AIG70" s="27"/>
      <c r="AIH70" s="27"/>
      <c r="AII70" s="27"/>
      <c r="AIJ70" s="27"/>
      <c r="AIK70" s="27"/>
      <c r="AIL70" s="27"/>
      <c r="AIM70" s="27"/>
      <c r="AIN70" s="27"/>
      <c r="AIO70" s="27"/>
      <c r="AIP70" s="27"/>
      <c r="AIQ70" s="27"/>
      <c r="AIR70" s="27"/>
      <c r="AIS70" s="27"/>
      <c r="AIT70" s="27"/>
      <c r="AIU70" s="27"/>
      <c r="AIV70" s="27"/>
      <c r="AIW70" s="27"/>
      <c r="AIX70" s="27"/>
      <c r="AIY70" s="27"/>
      <c r="AIZ70" s="27"/>
      <c r="AJA70" s="27"/>
      <c r="AJB70" s="27"/>
      <c r="AJC70" s="27"/>
      <c r="AJD70" s="27"/>
      <c r="AJE70" s="27"/>
      <c r="AJF70" s="27"/>
      <c r="AJG70" s="27"/>
      <c r="AJH70" s="27"/>
      <c r="AJI70" s="27"/>
      <c r="AJJ70" s="27"/>
      <c r="AJK70" s="27"/>
      <c r="AJL70" s="27"/>
      <c r="AJM70" s="27"/>
      <c r="AJN70" s="27"/>
      <c r="AJO70" s="27"/>
      <c r="AJP70" s="27"/>
      <c r="AJQ70" s="27"/>
      <c r="AJR70" s="27"/>
      <c r="AJS70" s="27"/>
      <c r="AJT70" s="27"/>
      <c r="AJU70" s="27"/>
      <c r="AJV70" s="27"/>
      <c r="AJW70" s="27"/>
      <c r="AJX70" s="27"/>
      <c r="AJY70" s="27"/>
      <c r="AJZ70" s="27"/>
      <c r="AKA70" s="27"/>
      <c r="AKB70" s="27"/>
      <c r="AKC70" s="27"/>
      <c r="AKD70" s="27"/>
      <c r="AKE70" s="27"/>
      <c r="AKF70" s="27"/>
      <c r="AKG70" s="27"/>
      <c r="AKH70" s="27"/>
      <c r="AKI70" s="27"/>
      <c r="AKJ70" s="27"/>
      <c r="AKK70" s="27"/>
      <c r="AKL70" s="27"/>
      <c r="AKM70" s="27"/>
      <c r="AKN70" s="27"/>
      <c r="AKO70" s="27"/>
      <c r="AKP70" s="27"/>
      <c r="AKQ70" s="27"/>
      <c r="AKR70" s="27"/>
      <c r="AKS70" s="27"/>
      <c r="AKT70" s="27"/>
      <c r="AKU70" s="27"/>
      <c r="AKV70" s="27"/>
      <c r="AKW70" s="27"/>
      <c r="AKX70" s="27"/>
      <c r="AKY70" s="27"/>
      <c r="AKZ70" s="27"/>
      <c r="ALA70" s="27"/>
      <c r="ALB70" s="27"/>
      <c r="ALC70" s="27"/>
      <c r="ALD70" s="27"/>
      <c r="ALE70" s="27"/>
      <c r="ALF70" s="27"/>
      <c r="ALG70" s="27"/>
      <c r="ALH70" s="27"/>
      <c r="ALI70" s="27"/>
      <c r="ALJ70" s="27"/>
      <c r="ALK70" s="27"/>
      <c r="ALL70" s="27"/>
      <c r="ALM70" s="27"/>
      <c r="ALN70" s="27"/>
      <c r="ALO70" s="27"/>
      <c r="ALP70" s="27"/>
      <c r="ALQ70" s="27"/>
      <c r="ALR70" s="27"/>
      <c r="ALS70" s="27"/>
      <c r="ALT70" s="27"/>
      <c r="ALU70" s="27"/>
      <c r="ALV70" s="27"/>
      <c r="ALW70" s="27"/>
      <c r="ALX70" s="27"/>
      <c r="ALY70" s="27"/>
      <c r="ALZ70" s="27"/>
      <c r="AMA70" s="27"/>
      <c r="AMB70" s="27"/>
      <c r="AMC70" s="27"/>
      <c r="AMD70" s="27"/>
      <c r="AME70" s="27"/>
      <c r="AMF70" s="27"/>
      <c r="AMG70" s="27"/>
      <c r="AMH70" s="27"/>
      <c r="AMI70" s="27"/>
      <c r="AMJ70" s="27"/>
      <c r="AMK70" s="27"/>
    </row>
    <row r="71" spans="1:1025" ht="15" customHeight="1">
      <c r="A71" s="28" t="s">
        <v>15</v>
      </c>
      <c r="B71" s="103"/>
      <c r="C71" s="61" t="s">
        <v>165</v>
      </c>
      <c r="D71" s="92" t="s">
        <v>166</v>
      </c>
      <c r="E71" s="56">
        <v>1</v>
      </c>
      <c r="F71" s="91" t="b">
        <v>0</v>
      </c>
      <c r="G71" s="57">
        <v>0.5</v>
      </c>
      <c r="H71" s="57">
        <v>0.25</v>
      </c>
      <c r="I71" s="56" t="s">
        <v>73</v>
      </c>
      <c r="J71" s="95" t="s">
        <v>162</v>
      </c>
      <c r="K71" s="57">
        <v>0.5</v>
      </c>
      <c r="L71" s="57">
        <v>0.25</v>
      </c>
      <c r="M71" s="58">
        <f t="shared" si="11"/>
        <v>0.125</v>
      </c>
      <c r="N71" s="34"/>
      <c r="O71" s="74"/>
      <c r="P71" s="58"/>
      <c r="Q71" s="16"/>
      <c r="R71" s="46"/>
      <c r="S71" s="50"/>
      <c r="T71" s="48"/>
      <c r="U71" s="48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  <c r="NO71" s="27"/>
      <c r="NP71" s="27"/>
      <c r="NQ71" s="27"/>
      <c r="NR71" s="27"/>
      <c r="NS71" s="27"/>
      <c r="NT71" s="27"/>
      <c r="NU71" s="27"/>
      <c r="NV71" s="27"/>
      <c r="NW71" s="27"/>
      <c r="NX71" s="27"/>
      <c r="NY71" s="27"/>
      <c r="NZ71" s="27"/>
      <c r="OA71" s="27"/>
      <c r="OB71" s="27"/>
      <c r="OC71" s="27"/>
      <c r="OD71" s="27"/>
      <c r="OE71" s="27"/>
      <c r="OF71" s="27"/>
      <c r="OG71" s="27"/>
      <c r="OH71" s="27"/>
      <c r="OI71" s="27"/>
      <c r="OJ71" s="27"/>
      <c r="OK71" s="27"/>
      <c r="OL71" s="27"/>
      <c r="OM71" s="27"/>
      <c r="ON71" s="27"/>
      <c r="OO71" s="27"/>
      <c r="OP71" s="27"/>
      <c r="OQ71" s="27"/>
      <c r="OR71" s="27"/>
      <c r="OS71" s="27"/>
      <c r="OT71" s="27"/>
      <c r="OU71" s="27"/>
      <c r="OV71" s="27"/>
      <c r="OW71" s="27"/>
      <c r="OX71" s="27"/>
      <c r="OY71" s="27"/>
      <c r="OZ71" s="27"/>
      <c r="PA71" s="27"/>
      <c r="PB71" s="27"/>
      <c r="PC71" s="27"/>
      <c r="PD71" s="27"/>
      <c r="PE71" s="27"/>
      <c r="PF71" s="27"/>
      <c r="PG71" s="27"/>
      <c r="PH71" s="27"/>
      <c r="PI71" s="27"/>
      <c r="PJ71" s="27"/>
      <c r="PK71" s="27"/>
      <c r="PL71" s="27"/>
      <c r="PM71" s="27"/>
      <c r="PN71" s="27"/>
      <c r="PO71" s="27"/>
      <c r="PP71" s="27"/>
      <c r="PQ71" s="27"/>
      <c r="PR71" s="27"/>
      <c r="PS71" s="27"/>
      <c r="PT71" s="27"/>
      <c r="PU71" s="27"/>
      <c r="PV71" s="27"/>
      <c r="PW71" s="27"/>
      <c r="PX71" s="27"/>
      <c r="PY71" s="27"/>
      <c r="PZ71" s="27"/>
      <c r="QA71" s="27"/>
      <c r="QB71" s="27"/>
      <c r="QC71" s="27"/>
      <c r="QD71" s="27"/>
      <c r="QE71" s="27"/>
      <c r="QF71" s="27"/>
      <c r="QG71" s="27"/>
      <c r="QH71" s="27"/>
      <c r="QI71" s="27"/>
      <c r="QJ71" s="27"/>
      <c r="QK71" s="27"/>
      <c r="QL71" s="27"/>
      <c r="QM71" s="27"/>
      <c r="QN71" s="27"/>
      <c r="QO71" s="27"/>
      <c r="QP71" s="27"/>
      <c r="QQ71" s="27"/>
      <c r="QR71" s="27"/>
      <c r="QS71" s="27"/>
      <c r="QT71" s="27"/>
      <c r="QU71" s="27"/>
      <c r="QV71" s="27"/>
      <c r="QW71" s="27"/>
      <c r="QX71" s="27"/>
      <c r="QY71" s="27"/>
      <c r="QZ71" s="27"/>
      <c r="RA71" s="27"/>
      <c r="RB71" s="27"/>
      <c r="RC71" s="27"/>
      <c r="RD71" s="27"/>
      <c r="RE71" s="27"/>
      <c r="RF71" s="27"/>
      <c r="RG71" s="27"/>
      <c r="RH71" s="27"/>
      <c r="RI71" s="27"/>
      <c r="RJ71" s="27"/>
      <c r="RK71" s="27"/>
      <c r="RL71" s="27"/>
      <c r="RM71" s="27"/>
      <c r="RN71" s="27"/>
      <c r="RO71" s="27"/>
      <c r="RP71" s="27"/>
      <c r="RQ71" s="27"/>
      <c r="RR71" s="27"/>
      <c r="RS71" s="27"/>
      <c r="RT71" s="27"/>
      <c r="RU71" s="27"/>
      <c r="RV71" s="27"/>
      <c r="RW71" s="27"/>
      <c r="RX71" s="27"/>
      <c r="RY71" s="27"/>
      <c r="RZ71" s="27"/>
      <c r="SA71" s="27"/>
      <c r="SB71" s="27"/>
      <c r="SC71" s="27"/>
      <c r="SD71" s="27"/>
      <c r="SE71" s="27"/>
      <c r="SF71" s="27"/>
      <c r="SG71" s="27"/>
      <c r="SH71" s="27"/>
      <c r="SI71" s="27"/>
      <c r="SJ71" s="27"/>
      <c r="SK71" s="27"/>
      <c r="SL71" s="27"/>
      <c r="SM71" s="27"/>
      <c r="SN71" s="27"/>
      <c r="SO71" s="27"/>
      <c r="SP71" s="27"/>
      <c r="SQ71" s="27"/>
      <c r="SR71" s="27"/>
      <c r="SS71" s="27"/>
      <c r="ST71" s="27"/>
      <c r="SU71" s="27"/>
      <c r="SV71" s="27"/>
      <c r="SW71" s="27"/>
      <c r="SX71" s="27"/>
      <c r="SY71" s="27"/>
      <c r="SZ71" s="27"/>
      <c r="TA71" s="27"/>
      <c r="TB71" s="27"/>
      <c r="TC71" s="27"/>
      <c r="TD71" s="27"/>
      <c r="TE71" s="27"/>
      <c r="TF71" s="27"/>
      <c r="TG71" s="27"/>
      <c r="TH71" s="27"/>
      <c r="TI71" s="27"/>
      <c r="TJ71" s="27"/>
      <c r="TK71" s="27"/>
      <c r="TL71" s="27"/>
      <c r="TM71" s="27"/>
      <c r="TN71" s="27"/>
      <c r="TO71" s="27"/>
      <c r="TP71" s="27"/>
      <c r="TQ71" s="27"/>
      <c r="TR71" s="27"/>
      <c r="TS71" s="27"/>
      <c r="TT71" s="27"/>
      <c r="TU71" s="27"/>
      <c r="TV71" s="27"/>
      <c r="TW71" s="27"/>
      <c r="TX71" s="27"/>
      <c r="TY71" s="27"/>
      <c r="TZ71" s="27"/>
      <c r="UA71" s="27"/>
      <c r="UB71" s="27"/>
      <c r="UC71" s="27"/>
      <c r="UD71" s="27"/>
      <c r="UE71" s="27"/>
      <c r="UF71" s="27"/>
      <c r="UG71" s="27"/>
      <c r="UH71" s="27"/>
      <c r="UI71" s="27"/>
      <c r="UJ71" s="27"/>
      <c r="UK71" s="27"/>
      <c r="UL71" s="27"/>
      <c r="UM71" s="27"/>
      <c r="UN71" s="27"/>
      <c r="UO71" s="27"/>
      <c r="UP71" s="27"/>
      <c r="UQ71" s="27"/>
      <c r="UR71" s="27"/>
      <c r="US71" s="27"/>
      <c r="UT71" s="27"/>
      <c r="UU71" s="27"/>
      <c r="UV71" s="27"/>
      <c r="UW71" s="27"/>
      <c r="UX71" s="27"/>
      <c r="UY71" s="27"/>
      <c r="UZ71" s="27"/>
      <c r="VA71" s="27"/>
      <c r="VB71" s="27"/>
      <c r="VC71" s="27"/>
      <c r="VD71" s="27"/>
      <c r="VE71" s="27"/>
      <c r="VF71" s="27"/>
      <c r="VG71" s="27"/>
      <c r="VH71" s="27"/>
      <c r="VI71" s="27"/>
      <c r="VJ71" s="27"/>
      <c r="VK71" s="27"/>
      <c r="VL71" s="27"/>
      <c r="VM71" s="27"/>
      <c r="VN71" s="27"/>
      <c r="VO71" s="27"/>
      <c r="VP71" s="27"/>
      <c r="VQ71" s="27"/>
      <c r="VR71" s="27"/>
      <c r="VS71" s="27"/>
      <c r="VT71" s="27"/>
      <c r="VU71" s="27"/>
      <c r="VV71" s="27"/>
      <c r="VW71" s="27"/>
      <c r="VX71" s="27"/>
      <c r="VY71" s="27"/>
      <c r="VZ71" s="27"/>
      <c r="WA71" s="27"/>
      <c r="WB71" s="27"/>
      <c r="WC71" s="27"/>
      <c r="WD71" s="27"/>
      <c r="WE71" s="27"/>
      <c r="WF71" s="27"/>
      <c r="WG71" s="27"/>
      <c r="WH71" s="27"/>
      <c r="WI71" s="27"/>
      <c r="WJ71" s="27"/>
      <c r="WK71" s="27"/>
      <c r="WL71" s="27"/>
      <c r="WM71" s="27"/>
      <c r="WN71" s="27"/>
      <c r="WO71" s="27"/>
      <c r="WP71" s="27"/>
      <c r="WQ71" s="27"/>
      <c r="WR71" s="27"/>
      <c r="WS71" s="27"/>
      <c r="WT71" s="27"/>
      <c r="WU71" s="27"/>
      <c r="WV71" s="27"/>
      <c r="WW71" s="27"/>
      <c r="WX71" s="27"/>
      <c r="WY71" s="27"/>
      <c r="WZ71" s="27"/>
      <c r="XA71" s="27"/>
      <c r="XB71" s="27"/>
      <c r="XC71" s="27"/>
      <c r="XD71" s="27"/>
      <c r="XE71" s="27"/>
      <c r="XF71" s="27"/>
      <c r="XG71" s="27"/>
      <c r="XH71" s="27"/>
      <c r="XI71" s="27"/>
      <c r="XJ71" s="27"/>
      <c r="XK71" s="27"/>
      <c r="XL71" s="27"/>
      <c r="XM71" s="27"/>
      <c r="XN71" s="27"/>
      <c r="XO71" s="27"/>
      <c r="XP71" s="27"/>
      <c r="XQ71" s="27"/>
      <c r="XR71" s="27"/>
      <c r="XS71" s="27"/>
      <c r="XT71" s="27"/>
      <c r="XU71" s="27"/>
      <c r="XV71" s="27"/>
      <c r="XW71" s="27"/>
      <c r="XX71" s="27"/>
      <c r="XY71" s="27"/>
      <c r="XZ71" s="27"/>
      <c r="YA71" s="27"/>
      <c r="YB71" s="27"/>
      <c r="YC71" s="27"/>
      <c r="YD71" s="27"/>
      <c r="YE71" s="27"/>
      <c r="YF71" s="27"/>
      <c r="YG71" s="27"/>
      <c r="YH71" s="27"/>
      <c r="YI71" s="27"/>
      <c r="YJ71" s="27"/>
      <c r="YK71" s="27"/>
      <c r="YL71" s="27"/>
      <c r="YM71" s="27"/>
      <c r="YN71" s="27"/>
      <c r="YO71" s="27"/>
      <c r="YP71" s="27"/>
      <c r="YQ71" s="27"/>
      <c r="YR71" s="27"/>
      <c r="YS71" s="27"/>
      <c r="YT71" s="27"/>
      <c r="YU71" s="27"/>
      <c r="YV71" s="27"/>
      <c r="YW71" s="27"/>
      <c r="YX71" s="27"/>
      <c r="YY71" s="27"/>
      <c r="YZ71" s="27"/>
      <c r="ZA71" s="27"/>
      <c r="ZB71" s="27"/>
      <c r="ZC71" s="27"/>
      <c r="ZD71" s="27"/>
      <c r="ZE71" s="27"/>
      <c r="ZF71" s="27"/>
      <c r="ZG71" s="27"/>
      <c r="ZH71" s="27"/>
      <c r="ZI71" s="27"/>
      <c r="ZJ71" s="27"/>
      <c r="ZK71" s="27"/>
      <c r="ZL71" s="27"/>
      <c r="ZM71" s="27"/>
      <c r="ZN71" s="27"/>
      <c r="ZO71" s="27"/>
      <c r="ZP71" s="27"/>
      <c r="ZQ71" s="27"/>
      <c r="ZR71" s="27"/>
      <c r="ZS71" s="27"/>
      <c r="ZT71" s="27"/>
      <c r="ZU71" s="27"/>
      <c r="ZV71" s="27"/>
      <c r="ZW71" s="27"/>
      <c r="ZX71" s="27"/>
      <c r="ZY71" s="27"/>
      <c r="ZZ71" s="27"/>
      <c r="AAA71" s="27"/>
      <c r="AAB71" s="27"/>
      <c r="AAC71" s="27"/>
      <c r="AAD71" s="27"/>
      <c r="AAE71" s="27"/>
      <c r="AAF71" s="27"/>
      <c r="AAG71" s="27"/>
      <c r="AAH71" s="27"/>
      <c r="AAI71" s="27"/>
      <c r="AAJ71" s="27"/>
      <c r="AAK71" s="27"/>
      <c r="AAL71" s="27"/>
      <c r="AAM71" s="27"/>
      <c r="AAN71" s="27"/>
      <c r="AAO71" s="27"/>
      <c r="AAP71" s="27"/>
      <c r="AAQ71" s="27"/>
      <c r="AAR71" s="27"/>
      <c r="AAS71" s="27"/>
      <c r="AAT71" s="27"/>
      <c r="AAU71" s="27"/>
      <c r="AAV71" s="27"/>
      <c r="AAW71" s="27"/>
      <c r="AAX71" s="27"/>
      <c r="AAY71" s="27"/>
      <c r="AAZ71" s="27"/>
      <c r="ABA71" s="27"/>
      <c r="ABB71" s="27"/>
      <c r="ABC71" s="27"/>
      <c r="ABD71" s="27"/>
      <c r="ABE71" s="27"/>
      <c r="ABF71" s="27"/>
      <c r="ABG71" s="27"/>
      <c r="ABH71" s="27"/>
      <c r="ABI71" s="27"/>
      <c r="ABJ71" s="27"/>
      <c r="ABK71" s="27"/>
      <c r="ABL71" s="27"/>
      <c r="ABM71" s="27"/>
      <c r="ABN71" s="27"/>
      <c r="ABO71" s="27"/>
      <c r="ABP71" s="27"/>
      <c r="ABQ71" s="27"/>
      <c r="ABR71" s="27"/>
      <c r="ABS71" s="27"/>
      <c r="ABT71" s="27"/>
      <c r="ABU71" s="27"/>
      <c r="ABV71" s="27"/>
      <c r="ABW71" s="27"/>
      <c r="ABX71" s="27"/>
      <c r="ABY71" s="27"/>
      <c r="ABZ71" s="27"/>
      <c r="ACA71" s="27"/>
      <c r="ACB71" s="27"/>
      <c r="ACC71" s="27"/>
      <c r="ACD71" s="27"/>
      <c r="ACE71" s="27"/>
      <c r="ACF71" s="27"/>
      <c r="ACG71" s="27"/>
      <c r="ACH71" s="27"/>
      <c r="ACI71" s="27"/>
      <c r="ACJ71" s="27"/>
      <c r="ACK71" s="27"/>
      <c r="ACL71" s="27"/>
      <c r="ACM71" s="27"/>
      <c r="ACN71" s="27"/>
      <c r="ACO71" s="27"/>
      <c r="ACP71" s="27"/>
      <c r="ACQ71" s="27"/>
      <c r="ACR71" s="27"/>
      <c r="ACS71" s="27"/>
      <c r="ACT71" s="27"/>
      <c r="ACU71" s="27"/>
      <c r="ACV71" s="27"/>
      <c r="ACW71" s="27"/>
      <c r="ACX71" s="27"/>
      <c r="ACY71" s="27"/>
      <c r="ACZ71" s="27"/>
      <c r="ADA71" s="27"/>
      <c r="ADB71" s="27"/>
      <c r="ADC71" s="27"/>
      <c r="ADD71" s="27"/>
      <c r="ADE71" s="27"/>
      <c r="ADF71" s="27"/>
      <c r="ADG71" s="27"/>
      <c r="ADH71" s="27"/>
      <c r="ADI71" s="27"/>
      <c r="ADJ71" s="27"/>
      <c r="ADK71" s="27"/>
      <c r="ADL71" s="27"/>
      <c r="ADM71" s="27"/>
      <c r="ADN71" s="27"/>
      <c r="ADO71" s="27"/>
      <c r="ADP71" s="27"/>
      <c r="ADQ71" s="27"/>
      <c r="ADR71" s="27"/>
      <c r="ADS71" s="27"/>
      <c r="ADT71" s="27"/>
      <c r="ADU71" s="27"/>
      <c r="ADV71" s="27"/>
      <c r="ADW71" s="27"/>
      <c r="ADX71" s="27"/>
      <c r="ADY71" s="27"/>
      <c r="ADZ71" s="27"/>
      <c r="AEA71" s="27"/>
      <c r="AEB71" s="27"/>
      <c r="AEC71" s="27"/>
      <c r="AED71" s="27"/>
      <c r="AEE71" s="27"/>
      <c r="AEF71" s="27"/>
      <c r="AEG71" s="27"/>
      <c r="AEH71" s="27"/>
      <c r="AEI71" s="27"/>
      <c r="AEJ71" s="27"/>
      <c r="AEK71" s="27"/>
      <c r="AEL71" s="27"/>
      <c r="AEM71" s="27"/>
      <c r="AEN71" s="27"/>
      <c r="AEO71" s="27"/>
      <c r="AEP71" s="27"/>
      <c r="AEQ71" s="27"/>
      <c r="AER71" s="27"/>
      <c r="AES71" s="27"/>
      <c r="AET71" s="27"/>
      <c r="AEU71" s="27"/>
      <c r="AEV71" s="27"/>
      <c r="AEW71" s="27"/>
      <c r="AEX71" s="27"/>
      <c r="AEY71" s="27"/>
      <c r="AEZ71" s="27"/>
      <c r="AFA71" s="27"/>
      <c r="AFB71" s="27"/>
      <c r="AFC71" s="27"/>
      <c r="AFD71" s="27"/>
      <c r="AFE71" s="27"/>
      <c r="AFF71" s="27"/>
      <c r="AFG71" s="27"/>
      <c r="AFH71" s="27"/>
      <c r="AFI71" s="27"/>
      <c r="AFJ71" s="27"/>
      <c r="AFK71" s="27"/>
      <c r="AFL71" s="27"/>
      <c r="AFM71" s="27"/>
      <c r="AFN71" s="27"/>
      <c r="AFO71" s="27"/>
      <c r="AFP71" s="27"/>
      <c r="AFQ71" s="27"/>
      <c r="AFR71" s="27"/>
      <c r="AFS71" s="27"/>
      <c r="AFT71" s="27"/>
      <c r="AFU71" s="27"/>
      <c r="AFV71" s="27"/>
      <c r="AFW71" s="27"/>
      <c r="AFX71" s="27"/>
      <c r="AFY71" s="27"/>
      <c r="AFZ71" s="27"/>
      <c r="AGA71" s="27"/>
      <c r="AGB71" s="27"/>
      <c r="AGC71" s="27"/>
      <c r="AGD71" s="27"/>
      <c r="AGE71" s="27"/>
      <c r="AGF71" s="27"/>
      <c r="AGG71" s="27"/>
      <c r="AGH71" s="27"/>
      <c r="AGI71" s="27"/>
      <c r="AGJ71" s="27"/>
      <c r="AGK71" s="27"/>
      <c r="AGL71" s="27"/>
      <c r="AGM71" s="27"/>
      <c r="AGN71" s="27"/>
      <c r="AGO71" s="27"/>
      <c r="AGP71" s="27"/>
      <c r="AGQ71" s="27"/>
      <c r="AGR71" s="27"/>
      <c r="AGS71" s="27"/>
      <c r="AGT71" s="27"/>
      <c r="AGU71" s="27"/>
      <c r="AGV71" s="27"/>
      <c r="AGW71" s="27"/>
      <c r="AGX71" s="27"/>
      <c r="AGY71" s="27"/>
      <c r="AGZ71" s="27"/>
      <c r="AHA71" s="27"/>
      <c r="AHB71" s="27"/>
      <c r="AHC71" s="27"/>
      <c r="AHD71" s="27"/>
      <c r="AHE71" s="27"/>
      <c r="AHF71" s="27"/>
      <c r="AHG71" s="27"/>
      <c r="AHH71" s="27"/>
      <c r="AHI71" s="27"/>
      <c r="AHJ71" s="27"/>
      <c r="AHK71" s="27"/>
      <c r="AHL71" s="27"/>
      <c r="AHM71" s="27"/>
      <c r="AHN71" s="27"/>
      <c r="AHO71" s="27"/>
      <c r="AHP71" s="27"/>
      <c r="AHQ71" s="27"/>
      <c r="AHR71" s="27"/>
      <c r="AHS71" s="27"/>
      <c r="AHT71" s="27"/>
      <c r="AHU71" s="27"/>
      <c r="AHV71" s="27"/>
      <c r="AHW71" s="27"/>
      <c r="AHX71" s="27"/>
      <c r="AHY71" s="27"/>
      <c r="AHZ71" s="27"/>
      <c r="AIA71" s="27"/>
      <c r="AIB71" s="27"/>
      <c r="AIC71" s="27"/>
      <c r="AID71" s="27"/>
      <c r="AIE71" s="27"/>
      <c r="AIF71" s="27"/>
      <c r="AIG71" s="27"/>
      <c r="AIH71" s="27"/>
      <c r="AII71" s="27"/>
      <c r="AIJ71" s="27"/>
      <c r="AIK71" s="27"/>
      <c r="AIL71" s="27"/>
      <c r="AIM71" s="27"/>
      <c r="AIN71" s="27"/>
      <c r="AIO71" s="27"/>
      <c r="AIP71" s="27"/>
      <c r="AIQ71" s="27"/>
      <c r="AIR71" s="27"/>
      <c r="AIS71" s="27"/>
      <c r="AIT71" s="27"/>
      <c r="AIU71" s="27"/>
      <c r="AIV71" s="27"/>
      <c r="AIW71" s="27"/>
      <c r="AIX71" s="27"/>
      <c r="AIY71" s="27"/>
      <c r="AIZ71" s="27"/>
      <c r="AJA71" s="27"/>
      <c r="AJB71" s="27"/>
      <c r="AJC71" s="27"/>
      <c r="AJD71" s="27"/>
      <c r="AJE71" s="27"/>
      <c r="AJF71" s="27"/>
      <c r="AJG71" s="27"/>
      <c r="AJH71" s="27"/>
      <c r="AJI71" s="27"/>
      <c r="AJJ71" s="27"/>
      <c r="AJK71" s="27"/>
      <c r="AJL71" s="27"/>
      <c r="AJM71" s="27"/>
      <c r="AJN71" s="27"/>
      <c r="AJO71" s="27"/>
      <c r="AJP71" s="27"/>
      <c r="AJQ71" s="27"/>
      <c r="AJR71" s="27"/>
      <c r="AJS71" s="27"/>
      <c r="AJT71" s="27"/>
      <c r="AJU71" s="27"/>
      <c r="AJV71" s="27"/>
      <c r="AJW71" s="27"/>
      <c r="AJX71" s="27"/>
      <c r="AJY71" s="27"/>
      <c r="AJZ71" s="27"/>
      <c r="AKA71" s="27"/>
      <c r="AKB71" s="27"/>
      <c r="AKC71" s="27"/>
      <c r="AKD71" s="27"/>
      <c r="AKE71" s="27"/>
      <c r="AKF71" s="27"/>
      <c r="AKG71" s="27"/>
      <c r="AKH71" s="27"/>
      <c r="AKI71" s="27"/>
      <c r="AKJ71" s="27"/>
      <c r="AKK71" s="27"/>
      <c r="AKL71" s="27"/>
      <c r="AKM71" s="27"/>
      <c r="AKN71" s="27"/>
      <c r="AKO71" s="27"/>
      <c r="AKP71" s="27"/>
      <c r="AKQ71" s="27"/>
      <c r="AKR71" s="27"/>
      <c r="AKS71" s="27"/>
      <c r="AKT71" s="27"/>
      <c r="AKU71" s="27"/>
      <c r="AKV71" s="27"/>
      <c r="AKW71" s="27"/>
      <c r="AKX71" s="27"/>
      <c r="AKY71" s="27"/>
      <c r="AKZ71" s="27"/>
      <c r="ALA71" s="27"/>
      <c r="ALB71" s="27"/>
      <c r="ALC71" s="27"/>
      <c r="ALD71" s="27"/>
      <c r="ALE71" s="27"/>
      <c r="ALF71" s="27"/>
      <c r="ALG71" s="27"/>
      <c r="ALH71" s="27"/>
      <c r="ALI71" s="27"/>
      <c r="ALJ71" s="27"/>
      <c r="ALK71" s="27"/>
      <c r="ALL71" s="27"/>
      <c r="ALM71" s="27"/>
      <c r="ALN71" s="27"/>
      <c r="ALO71" s="27"/>
      <c r="ALP71" s="27"/>
      <c r="ALQ71" s="27"/>
      <c r="ALR71" s="27"/>
      <c r="ALS71" s="27"/>
      <c r="ALT71" s="27"/>
      <c r="ALU71" s="27"/>
      <c r="ALV71" s="27"/>
      <c r="ALW71" s="27"/>
      <c r="ALX71" s="27"/>
      <c r="ALY71" s="27"/>
      <c r="ALZ71" s="27"/>
      <c r="AMA71" s="27"/>
      <c r="AMB71" s="27"/>
      <c r="AMC71" s="27"/>
      <c r="AMD71" s="27"/>
      <c r="AME71" s="27"/>
      <c r="AMF71" s="27"/>
      <c r="AMG71" s="27"/>
      <c r="AMH71" s="27"/>
      <c r="AMI71" s="27"/>
      <c r="AMJ71" s="27"/>
      <c r="AMK71" s="27"/>
    </row>
    <row r="72" spans="1:1025" ht="14.25" customHeight="1">
      <c r="A72" s="28" t="s">
        <v>15</v>
      </c>
      <c r="B72" s="104"/>
      <c r="C72" s="61" t="s">
        <v>167</v>
      </c>
      <c r="D72" s="92" t="s">
        <v>168</v>
      </c>
      <c r="E72" s="56">
        <v>1</v>
      </c>
      <c r="F72" s="91" t="b">
        <v>0</v>
      </c>
      <c r="G72" s="57">
        <v>0.5</v>
      </c>
      <c r="H72" s="57">
        <v>0.25</v>
      </c>
      <c r="I72" s="56" t="s">
        <v>73</v>
      </c>
      <c r="J72" s="95" t="s">
        <v>162</v>
      </c>
      <c r="K72" s="57">
        <v>0.5</v>
      </c>
      <c r="L72" s="57">
        <v>0.25</v>
      </c>
      <c r="M72" s="58">
        <f t="shared" si="11"/>
        <v>0.125</v>
      </c>
      <c r="N72" s="34"/>
      <c r="O72" s="74"/>
      <c r="P72" s="55"/>
    </row>
    <row r="73" spans="1:1025">
      <c r="A73" s="28" t="s">
        <v>15</v>
      </c>
      <c r="B73" s="83"/>
      <c r="C73" s="84" t="s">
        <v>169</v>
      </c>
      <c r="D73" s="84"/>
      <c r="E73" s="85"/>
      <c r="F73" s="91" t="b">
        <v>0</v>
      </c>
      <c r="G73" s="86">
        <v>0.4</v>
      </c>
      <c r="H73" s="86">
        <v>0.15</v>
      </c>
      <c r="I73" s="85" t="s">
        <v>73</v>
      </c>
      <c r="J73" s="96"/>
      <c r="K73" s="86">
        <v>0.4</v>
      </c>
      <c r="L73" s="86">
        <v>0.15</v>
      </c>
      <c r="M73" s="58">
        <f t="shared" si="9"/>
        <v>0</v>
      </c>
      <c r="N73" s="34"/>
      <c r="O73" s="74"/>
      <c r="P73" s="84"/>
    </row>
  </sheetData>
  <mergeCells count="16">
    <mergeCell ref="V20:V29"/>
    <mergeCell ref="V35:V50"/>
    <mergeCell ref="R3:U3"/>
    <mergeCell ref="B63:B68"/>
    <mergeCell ref="B34:B46"/>
    <mergeCell ref="B51:B60"/>
    <mergeCell ref="B61:B62"/>
    <mergeCell ref="B47:B50"/>
    <mergeCell ref="B69:B72"/>
    <mergeCell ref="A1:P1"/>
    <mergeCell ref="B30:B33"/>
    <mergeCell ref="B12:B19"/>
    <mergeCell ref="B4:B11"/>
    <mergeCell ref="B20:B24"/>
    <mergeCell ref="L3:M3"/>
    <mergeCell ref="B25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94EA-3F85-471A-AE3E-E5802DAEB057}">
  <sheetPr>
    <tabColor rgb="FFFFFF00"/>
  </sheetPr>
  <dimension ref="A1"/>
  <sheetViews>
    <sheetView zoomScaleNormal="60" zoomScaleSheetLayoutView="100" workbookViewId="0">
      <selection activeCell="D4" sqref="D4"/>
    </sheetView>
  </sheetViews>
  <sheetFormatPr defaultRowHeight="15"/>
  <cols>
    <col min="2" max="2" width="13.42578125" customWidth="1"/>
    <col min="3" max="3" width="12.7109375" customWidth="1"/>
    <col min="4" max="4" width="15.28515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5474-3AC7-4148-9F82-35C62FA938C6}">
  <dimension ref="A1"/>
  <sheetViews>
    <sheetView topLeftCell="C1" workbookViewId="0">
      <selection activeCell="K7" sqref="K7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fab965-5d3d-4b41-841f-71d702db462b">
      <Terms xmlns="http://schemas.microsoft.com/office/infopath/2007/PartnerControls"/>
    </lcf76f155ced4ddcb4097134ff3c332f>
    <TaxCatchAll xmlns="7cfde75b-ac1e-4aae-b786-b4d594ced7d1" xsi:nil="true"/>
    <_Flow_SignoffStatus xmlns="04fab965-5d3d-4b41-841f-71d702db46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EB0DCFA5AE8489FD2BF1A99E02000" ma:contentTypeVersion="20" ma:contentTypeDescription="Crie um novo documento." ma:contentTypeScope="" ma:versionID="0b5ef5291248c327ba3e414424d939f2">
  <xsd:schema xmlns:xsd="http://www.w3.org/2001/XMLSchema" xmlns:xs="http://www.w3.org/2001/XMLSchema" xmlns:p="http://schemas.microsoft.com/office/2006/metadata/properties" xmlns:ns2="04fab965-5d3d-4b41-841f-71d702db462b" xmlns:ns3="7cfde75b-ac1e-4aae-b786-b4d594ced7d1" targetNamespace="http://schemas.microsoft.com/office/2006/metadata/properties" ma:root="true" ma:fieldsID="522db6fb571957bc53a57d5e0d6d393d" ns2:_="" ns3:_="">
    <xsd:import namespace="04fab965-5d3d-4b41-841f-71d702db462b"/>
    <xsd:import namespace="7cfde75b-ac1e-4aae-b786-b4d594ced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b965-5d3d-4b41-841f-71d702db4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64acc2-bd2d-4409-85f6-df2eebf848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de75b-ac1e-4aae-b786-b4d594ced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f1f763-c8ca-42e1-8124-06bfdff3a4c7}" ma:internalName="TaxCatchAll" ma:showField="CatchAllData" ma:web="7cfde75b-ac1e-4aae-b786-b4d594ced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03FE03-A5DA-41DA-9899-15AE817285CD}"/>
</file>

<file path=customXml/itemProps2.xml><?xml version="1.0" encoding="utf-8"?>
<ds:datastoreItem xmlns:ds="http://schemas.openxmlformats.org/officeDocument/2006/customXml" ds:itemID="{63B2A721-AB66-4AE3-A8E2-6E4E0358AFFF}"/>
</file>

<file path=customXml/itemProps3.xml><?xml version="1.0" encoding="utf-8"?>
<ds:datastoreItem xmlns:ds="http://schemas.openxmlformats.org/officeDocument/2006/customXml" ds:itemID="{F384315D-C51B-4BCA-A00A-B28EBBF91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Elias</dc:creator>
  <cp:keywords/>
  <dc:description/>
  <cp:lastModifiedBy/>
  <cp:revision/>
  <dcterms:created xsi:type="dcterms:W3CDTF">2026-02-19T16:36:38Z</dcterms:created>
  <dcterms:modified xsi:type="dcterms:W3CDTF">2026-07-14T13:43:52Z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0x010100A20EB0DCFA5AE8489FD2BF1A99E02000</vt:lpwstr>
  </property>
  <property fmtid="{D5CDD505-2E9C-101B-9397-08002B2CF9AE}" pid="3" name="MediaServiceImageTags">
    <vt:lpwstr/>
  </property>
</Properties>
</file>