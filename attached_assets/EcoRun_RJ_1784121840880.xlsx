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.oliveira\Desktop\2024\"/>
    </mc:Choice>
  </mc:AlternateContent>
  <xr:revisionPtr revIDLastSave="0" documentId="8_{DA15D0B6-BE62-4525-B0B1-A47C8E7FC4E3}" xr6:coauthVersionLast="47" xr6:coauthVersionMax="47" xr10:uidLastSave="{00000000-0000-0000-0000-000000000000}"/>
  <bookViews>
    <workbookView xWindow="-120" yWindow="-120" windowWidth="20730" windowHeight="11160" firstSheet="1" activeTab="1" xr2:uid="{FE8A82ED-98BB-4D1B-9975-DCDEDA610DCA}"/>
  </bookViews>
  <sheets>
    <sheet name="KIT" sheetId="7" r:id="rId1"/>
    <sheet name="Arena" sheetId="5" r:id="rId2"/>
    <sheet name="Placas km e percurso" sheetId="6" r:id="rId3"/>
    <sheet name="memória - compra material" sheetId="4" state="hidden" r:id="rId4"/>
    <sheet name="Imantadas" sheetId="8" r:id="rId5"/>
  </sheets>
  <definedNames>
    <definedName name="_xlnm._FilterDatabase" localSheetId="1" hidden="1">Arena!$A$3:$Q$86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5" l="1"/>
  <c r="M25" i="5"/>
  <c r="N11" i="5"/>
  <c r="M11" i="5"/>
  <c r="I24" i="7"/>
  <c r="I23" i="7"/>
  <c r="I22" i="7"/>
  <c r="I21" i="7"/>
  <c r="N31" i="5"/>
  <c r="M31" i="5"/>
  <c r="N30" i="5"/>
  <c r="M30" i="5"/>
  <c r="N17" i="5"/>
  <c r="M17" i="5"/>
  <c r="N16" i="5"/>
  <c r="M16" i="5"/>
  <c r="L54" i="5"/>
  <c r="K54" i="5"/>
  <c r="L53" i="5"/>
  <c r="K53" i="5"/>
  <c r="L52" i="5"/>
  <c r="K52" i="5"/>
  <c r="L51" i="5"/>
  <c r="K51" i="5"/>
  <c r="L50" i="5"/>
  <c r="K50" i="5"/>
  <c r="L49" i="5"/>
  <c r="K49" i="5"/>
  <c r="M85" i="5"/>
  <c r="N46" i="5"/>
  <c r="N47" i="5"/>
  <c r="K45" i="5"/>
  <c r="K47" i="5"/>
  <c r="K46" i="5"/>
  <c r="M46" i="5" s="1"/>
  <c r="N60" i="5"/>
  <c r="L60" i="5"/>
  <c r="K60" i="5"/>
  <c r="N59" i="5"/>
  <c r="M59" i="5"/>
  <c r="N53" i="5"/>
  <c r="M19" i="5"/>
  <c r="N19" i="5"/>
  <c r="M20" i="5"/>
  <c r="N20" i="5"/>
  <c r="M21" i="5"/>
  <c r="N21" i="5"/>
  <c r="M22" i="5"/>
  <c r="N22" i="5"/>
  <c r="M23" i="5"/>
  <c r="N23" i="5"/>
  <c r="M24" i="5"/>
  <c r="N24" i="5"/>
  <c r="M26" i="5"/>
  <c r="N26" i="5"/>
  <c r="M27" i="5"/>
  <c r="N27" i="5"/>
  <c r="M28" i="5"/>
  <c r="N28" i="5"/>
  <c r="M29" i="5"/>
  <c r="N29" i="5"/>
  <c r="M12" i="5"/>
  <c r="N12" i="5"/>
  <c r="M13" i="5"/>
  <c r="N13" i="5"/>
  <c r="M14" i="5"/>
  <c r="N14" i="5"/>
  <c r="M15" i="5"/>
  <c r="N15" i="5"/>
  <c r="N5" i="5"/>
  <c r="N6" i="5"/>
  <c r="N7" i="5"/>
  <c r="N8" i="5"/>
  <c r="N9" i="5"/>
  <c r="N10" i="5"/>
  <c r="N18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8" i="5"/>
  <c r="N49" i="5"/>
  <c r="N50" i="5"/>
  <c r="N51" i="5"/>
  <c r="N52" i="5"/>
  <c r="N54" i="5"/>
  <c r="N55" i="5"/>
  <c r="N56" i="5"/>
  <c r="N57" i="5"/>
  <c r="N58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7" i="5"/>
  <c r="N78" i="5"/>
  <c r="N79" i="5"/>
  <c r="N80" i="5"/>
  <c r="N81" i="5"/>
  <c r="N82" i="5"/>
  <c r="N83" i="5"/>
  <c r="N84" i="5"/>
  <c r="N86" i="5"/>
  <c r="N87" i="5"/>
  <c r="N88" i="5"/>
  <c r="N89" i="5"/>
  <c r="N90" i="5"/>
  <c r="M84" i="5"/>
  <c r="L62" i="5"/>
  <c r="K62" i="5"/>
  <c r="M61" i="5"/>
  <c r="M7" i="5"/>
  <c r="M8" i="5"/>
  <c r="M9" i="5"/>
  <c r="M10" i="5"/>
  <c r="M18" i="5"/>
  <c r="M90" i="5"/>
  <c r="M57" i="5"/>
  <c r="M55" i="5"/>
  <c r="M73" i="5"/>
  <c r="M87" i="5"/>
  <c r="M32" i="5"/>
  <c r="M86" i="5"/>
  <c r="N4" i="5"/>
  <c r="M83" i="5"/>
  <c r="M77" i="5"/>
  <c r="M75" i="5"/>
  <c r="M74" i="5"/>
  <c r="M72" i="5"/>
  <c r="M71" i="5"/>
  <c r="M70" i="5"/>
  <c r="M69" i="5"/>
  <c r="M68" i="5"/>
  <c r="M67" i="5"/>
  <c r="M66" i="5"/>
  <c r="M65" i="5"/>
  <c r="M64" i="5"/>
  <c r="M63" i="5"/>
  <c r="M5" i="5"/>
  <c r="M4" i="5"/>
  <c r="M6" i="5"/>
  <c r="K82" i="5"/>
  <c r="M82" i="5" s="1"/>
  <c r="K81" i="5"/>
  <c r="M81" i="5" s="1"/>
  <c r="L58" i="5"/>
  <c r="K58" i="5"/>
  <c r="L56" i="5"/>
  <c r="K56" i="5"/>
  <c r="L48" i="5"/>
  <c r="K48" i="5"/>
  <c r="M45" i="5"/>
  <c r="T5" i="5"/>
  <c r="V5" i="5" s="1"/>
  <c r="M60" i="5" l="1"/>
  <c r="M53" i="5"/>
  <c r="M51" i="5"/>
  <c r="M52" i="5"/>
  <c r="M62" i="5"/>
  <c r="M47" i="5"/>
  <c r="M50" i="5"/>
  <c r="M54" i="5"/>
  <c r="M48" i="5"/>
  <c r="M49" i="5"/>
  <c r="M56" i="5"/>
  <c r="M58" i="5"/>
  <c r="T4" i="5"/>
  <c r="V4" i="5" s="1"/>
  <c r="T6" i="4" l="1"/>
  <c r="W6" i="4"/>
  <c r="N4" i="4"/>
  <c r="Q5" i="4"/>
  <c r="AG13" i="4"/>
  <c r="AJ13" i="4"/>
  <c r="AG6" i="4"/>
  <c r="AG5" i="4"/>
  <c r="K19" i="4"/>
  <c r="L19" i="4" s="1"/>
  <c r="AA15" i="4"/>
  <c r="AA10" i="4"/>
  <c r="AA4" i="4"/>
  <c r="AA14" i="4"/>
  <c r="AA9" i="4"/>
  <c r="AD14" i="4"/>
  <c r="AD10" i="4"/>
  <c r="AD9" i="4"/>
  <c r="AD15" i="4"/>
  <c r="AD5" i="4"/>
  <c r="T7" i="4"/>
  <c r="T8" i="4"/>
  <c r="T9" i="4"/>
  <c r="T10" i="4"/>
  <c r="T11" i="4"/>
  <c r="T5" i="4"/>
  <c r="N18" i="4"/>
  <c r="K20" i="4"/>
  <c r="L20" i="4" s="1"/>
  <c r="K9" i="4"/>
  <c r="K5" i="4"/>
  <c r="N43" i="4"/>
  <c r="N38" i="4"/>
  <c r="N33" i="4"/>
  <c r="N28" i="4"/>
  <c r="N23" i="4"/>
  <c r="N13" i="4"/>
  <c r="N8" i="4"/>
  <c r="H12" i="4"/>
  <c r="H8" i="4"/>
  <c r="H4" i="4"/>
  <c r="B14" i="4"/>
  <c r="B9" i="4"/>
  <c r="B4" i="4"/>
  <c r="Q9" i="4"/>
  <c r="Q14" i="4"/>
  <c r="Q19" i="4"/>
  <c r="Q24" i="4"/>
  <c r="E6" i="4"/>
  <c r="E10" i="4"/>
  <c r="E11" i="4"/>
  <c r="E15" i="4"/>
  <c r="E16" i="4"/>
  <c r="E5" i="4"/>
  <c r="AJ6" i="4"/>
  <c r="AJ5" i="4"/>
  <c r="W7" i="4"/>
  <c r="W8" i="4"/>
  <c r="W9" i="4"/>
  <c r="W10" i="4"/>
  <c r="W11" i="4"/>
  <c r="W5" i="4"/>
  <c r="Q29" i="4"/>
  <c r="Q34" i="4"/>
  <c r="Q39" i="4"/>
  <c r="Q44" i="4"/>
  <c r="X6" i="4" l="1"/>
  <c r="R5" i="4"/>
  <c r="R6" i="4" s="1"/>
  <c r="L21" i="4"/>
  <c r="K13" i="4"/>
  <c r="L13" i="4" s="1"/>
  <c r="L14" i="4" s="1"/>
  <c r="AK13" i="4"/>
  <c r="AE5" i="4"/>
  <c r="AE6" i="4" s="1"/>
  <c r="AK5" i="4"/>
  <c r="AK6" i="4"/>
  <c r="AE9" i="4"/>
  <c r="AE10" i="4"/>
  <c r="AE14" i="4"/>
  <c r="AE15" i="4"/>
  <c r="Q45" i="4"/>
  <c r="R45" i="4" s="1"/>
  <c r="Q40" i="4"/>
  <c r="R40" i="4" s="1"/>
  <c r="Q35" i="4"/>
  <c r="R35" i="4" s="1"/>
  <c r="Q30" i="4"/>
  <c r="R30" i="4" s="1"/>
  <c r="Q25" i="4"/>
  <c r="R25" i="4" s="1"/>
  <c r="Q20" i="4"/>
  <c r="R20" i="4" s="1"/>
  <c r="Q15" i="4"/>
  <c r="R15" i="4" s="1"/>
  <c r="Q10" i="4"/>
  <c r="R10" i="4" s="1"/>
  <c r="X5" i="4"/>
  <c r="X11" i="4"/>
  <c r="X10" i="4"/>
  <c r="X9" i="4"/>
  <c r="X8" i="4"/>
  <c r="X7" i="4"/>
  <c r="R44" i="4"/>
  <c r="R39" i="4"/>
  <c r="R34" i="4"/>
  <c r="R29" i="4"/>
  <c r="R24" i="4"/>
  <c r="R19" i="4"/>
  <c r="R14" i="4"/>
  <c r="R9" i="4"/>
  <c r="L9" i="4"/>
  <c r="L10" i="4" s="1"/>
  <c r="L5" i="4"/>
  <c r="F5" i="4"/>
  <c r="F6" i="4"/>
  <c r="F10" i="4"/>
  <c r="F11" i="4"/>
  <c r="F15" i="4"/>
  <c r="F16" i="4"/>
  <c r="AK7" i="4" l="1"/>
  <c r="AE16" i="4"/>
  <c r="AE11" i="4"/>
  <c r="X12" i="4"/>
  <c r="R46" i="4"/>
  <c r="R41" i="4"/>
  <c r="R36" i="4"/>
  <c r="R31" i="4"/>
  <c r="R26" i="4"/>
  <c r="R21" i="4"/>
  <c r="R16" i="4"/>
  <c r="R11" i="4"/>
  <c r="L6" i="4"/>
  <c r="F17" i="4"/>
  <c r="F12" i="4"/>
  <c r="F7" i="4"/>
</calcChain>
</file>

<file path=xl/sharedStrings.xml><?xml version="1.0" encoding="utf-8"?>
<sst xmlns="http://schemas.openxmlformats.org/spreadsheetml/2006/main" count="780" uniqueCount="285">
  <si>
    <t>ECO RUN - RIO DE JANEIRO</t>
  </si>
  <si>
    <t>DADOS DO SOLICITANTE</t>
  </si>
  <si>
    <t>Data Solicitação</t>
  </si>
  <si>
    <t> </t>
  </si>
  <si>
    <t>Solicitante</t>
  </si>
  <si>
    <t>BRUNO FERREIRA</t>
  </si>
  <si>
    <t>Departamento</t>
  </si>
  <si>
    <t>Kit</t>
  </si>
  <si>
    <t>ATUALIZAÇÃO DE LISTA</t>
  </si>
  <si>
    <t>Versão do Pedido</t>
  </si>
  <si>
    <t>V1</t>
  </si>
  <si>
    <t>Data última atualização</t>
  </si>
  <si>
    <t xml:space="preserve">Data de Entrega do material: </t>
  </si>
  <si>
    <t>Data do Evento</t>
  </si>
  <si>
    <t>TRANSPORTE</t>
  </si>
  <si>
    <t>Data Carrega caminhão</t>
  </si>
  <si>
    <t>Data Saída Caminhão</t>
  </si>
  <si>
    <t>cod_evento</t>
  </si>
  <si>
    <t>item</t>
  </si>
  <si>
    <t>cod_peça</t>
  </si>
  <si>
    <t>qtde</t>
  </si>
  <si>
    <t>material</t>
  </si>
  <si>
    <t>acabamento</t>
  </si>
  <si>
    <t>medida do arquivo</t>
  </si>
  <si>
    <t>m²</t>
  </si>
  <si>
    <t>obs</t>
  </si>
  <si>
    <t>cod_arquivo</t>
  </si>
  <si>
    <t>compr</t>
  </si>
  <si>
    <t>altura</t>
  </si>
  <si>
    <t>Placa de octanorme (CHECKI-IN)</t>
  </si>
  <si>
    <t>P.S.</t>
  </si>
  <si>
    <t>P.S. Adesivado</t>
  </si>
  <si>
    <t>Placa de octanorme (comunicação da prova)</t>
  </si>
  <si>
    <t>Placa de octanorme (RETIRADA DE KIT)</t>
  </si>
  <si>
    <t>OK</t>
  </si>
  <si>
    <t>ECO RUN RIO DE JANEIRO</t>
  </si>
  <si>
    <t>CÓD EVENTO</t>
  </si>
  <si>
    <t>cód peça</t>
  </si>
  <si>
    <t xml:space="preserve">área </t>
  </si>
  <si>
    <t>visual</t>
  </si>
  <si>
    <t>cód arquivo</t>
  </si>
  <si>
    <t>ARTE</t>
  </si>
  <si>
    <t>GRÁFICA</t>
  </si>
  <si>
    <t>OBSERVAÇÃO</t>
  </si>
  <si>
    <t>RESUMO</t>
  </si>
  <si>
    <t>ECO RJ</t>
  </si>
  <si>
    <t>2x1</t>
  </si>
  <si>
    <t>2x1 Bradesco</t>
  </si>
  <si>
    <t>2x1_1</t>
  </si>
  <si>
    <t>tecido</t>
  </si>
  <si>
    <t>ilhós</t>
  </si>
  <si>
    <t>*****</t>
  </si>
  <si>
    <t>reaproveitar</t>
  </si>
  <si>
    <t>LONA</t>
  </si>
  <si>
    <t>2x1 Sotreq</t>
  </si>
  <si>
    <t>2x1_2</t>
  </si>
  <si>
    <t>liberado</t>
  </si>
  <si>
    <t>ok</t>
  </si>
  <si>
    <t>SANETT</t>
  </si>
  <si>
    <t>2x1 Cymi</t>
  </si>
  <si>
    <t>2x1_3</t>
  </si>
  <si>
    <t>S</t>
  </si>
  <si>
    <t>2x1 Pwc</t>
  </si>
  <si>
    <t>2x1_4</t>
  </si>
  <si>
    <t>2x1 Rehidrat</t>
  </si>
  <si>
    <t>2x1_5</t>
  </si>
  <si>
    <t>2x1 Seadrill</t>
  </si>
  <si>
    <t>2x1_6</t>
  </si>
  <si>
    <t>2x1 Sputnik</t>
  </si>
  <si>
    <t>2x1_7</t>
  </si>
  <si>
    <t>2x1 Lei</t>
  </si>
  <si>
    <t>2x1_8</t>
  </si>
  <si>
    <t>2x1 Ministerio (bandeirinha)</t>
  </si>
  <si>
    <t>2x1_9</t>
  </si>
  <si>
    <t>2x1 Conexão Esporte</t>
  </si>
  <si>
    <t>2x1_10</t>
  </si>
  <si>
    <t>2x1 Prefeitura</t>
  </si>
  <si>
    <t>2x1_11</t>
  </si>
  <si>
    <t>2x1 Visit Rio</t>
  </si>
  <si>
    <t>2x1_12</t>
  </si>
  <si>
    <t>2x1 Band FM</t>
  </si>
  <si>
    <t>2x1_13</t>
  </si>
  <si>
    <t>2x1 Band News</t>
  </si>
  <si>
    <t>2x1_14</t>
  </si>
  <si>
    <t>Rolo</t>
  </si>
  <si>
    <t>rolo Bradesco</t>
  </si>
  <si>
    <t>rolo_1</t>
  </si>
  <si>
    <t>rolo Sotreq</t>
  </si>
  <si>
    <t>rolo_2</t>
  </si>
  <si>
    <t>rolo Cymi</t>
  </si>
  <si>
    <t>rolo_3</t>
  </si>
  <si>
    <t>rolo Pwc</t>
  </si>
  <si>
    <t>rolo_4</t>
  </si>
  <si>
    <t>rolo Rehidrat</t>
  </si>
  <si>
    <t>rolo_5</t>
  </si>
  <si>
    <t>rolo Seadrill</t>
  </si>
  <si>
    <t>rolo_6</t>
  </si>
  <si>
    <t>rolo Sputnik</t>
  </si>
  <si>
    <t>rolo_7</t>
  </si>
  <si>
    <t>rolo Lei</t>
  </si>
  <si>
    <t>rolo_8</t>
  </si>
  <si>
    <t>rolo Ministerio (bandeirinha)</t>
  </si>
  <si>
    <t>rolo_9</t>
  </si>
  <si>
    <t>rolo Conexão Esporte</t>
  </si>
  <si>
    <t>rolo_10</t>
  </si>
  <si>
    <t>rolo Prefeitura</t>
  </si>
  <si>
    <t>rolo_11</t>
  </si>
  <si>
    <t>rolo Visit Rio</t>
  </si>
  <si>
    <t>rolo_12</t>
  </si>
  <si>
    <t>rolo Band FM</t>
  </si>
  <si>
    <t>rolo_13</t>
  </si>
  <si>
    <t>rolo Band News</t>
  </si>
  <si>
    <t>rolo_14</t>
  </si>
  <si>
    <t>PALCO</t>
  </si>
  <si>
    <t>backdrop palco</t>
  </si>
  <si>
    <t>refile</t>
  </si>
  <si>
    <t>aplique Eco Run (fundo)</t>
  </si>
  <si>
    <t>ps 2mm</t>
  </si>
  <si>
    <t>recortado</t>
  </si>
  <si>
    <t>aplique Eco Run (frente)</t>
  </si>
  <si>
    <t>plastico verde</t>
  </si>
  <si>
    <t>lateral esquerda ("Run)</t>
  </si>
  <si>
    <t>madeira</t>
  </si>
  <si>
    <t>impressao uv</t>
  </si>
  <si>
    <t>lateral direita ("Corra por essa causa")</t>
  </si>
  <si>
    <t>PÓRTICO (BOCA DE 6)</t>
  </si>
  <si>
    <t>Aplique Eco Run (fundo)</t>
  </si>
  <si>
    <t xml:space="preserve">Testeira lado esquerdo </t>
  </si>
  <si>
    <t xml:space="preserve">Testeira lado direito </t>
  </si>
  <si>
    <t xml:space="preserve">Lat esq superior </t>
  </si>
  <si>
    <t>adesivo</t>
  </si>
  <si>
    <t>transparente</t>
  </si>
  <si>
    <t xml:space="preserve">Lat esq inferior  </t>
  </si>
  <si>
    <t xml:space="preserve">Lat dir superior  </t>
  </si>
  <si>
    <t xml:space="preserve">Lat dir inferior </t>
  </si>
  <si>
    <t xml:space="preserve"> Portiico Chegada </t>
  </si>
  <si>
    <t>Testeira Pórtico Chegada</t>
  </si>
  <si>
    <t>test_cheg</t>
  </si>
  <si>
    <t xml:space="preserve">lateral direita </t>
  </si>
  <si>
    <t>Lat_Dir</t>
  </si>
  <si>
    <t xml:space="preserve">lateral Esquerda  </t>
  </si>
  <si>
    <t>Lat_esq</t>
  </si>
  <si>
    <t>qd fotos</t>
  </si>
  <si>
    <t>Quadro fotos 1</t>
  </si>
  <si>
    <t>qd_fotos1</t>
  </si>
  <si>
    <t>Quadro fotos 2</t>
  </si>
  <si>
    <t>qd_fotos2</t>
  </si>
  <si>
    <t>Quadro fotos 3</t>
  </si>
  <si>
    <t>qd_fotos3</t>
  </si>
  <si>
    <t>Quadro fotos 4</t>
  </si>
  <si>
    <t>qd_fotos4</t>
  </si>
  <si>
    <t>Quadro fotos 5</t>
  </si>
  <si>
    <t>qd_fotos5</t>
  </si>
  <si>
    <t>Quadro fotos 6</t>
  </si>
  <si>
    <t>qd_fotos6</t>
  </si>
  <si>
    <t>Quadro fotos PWC</t>
  </si>
  <si>
    <t>STAND</t>
  </si>
  <si>
    <t>Testeira Bradesco</t>
  </si>
  <si>
    <t>test_brad</t>
  </si>
  <si>
    <t>Backdrop Bradesco</t>
  </si>
  <si>
    <t>bk_brad</t>
  </si>
  <si>
    <t xml:space="preserve">Testeira Espaço Verde </t>
  </si>
  <si>
    <t>test_verde1</t>
  </si>
  <si>
    <t>Backdrop Espaço Verde</t>
  </si>
  <si>
    <t>bk_verde</t>
  </si>
  <si>
    <t>Testeira Sotreq</t>
  </si>
  <si>
    <t>test_cielo</t>
  </si>
  <si>
    <t>Backdrop Sotreq</t>
  </si>
  <si>
    <t>bk_cielo</t>
  </si>
  <si>
    <t>Testeira Pwc</t>
  </si>
  <si>
    <t>Backdrop PWC</t>
  </si>
  <si>
    <t>PLACAS KM</t>
  </si>
  <si>
    <t>5k/10k - km 1</t>
  </si>
  <si>
    <t>km_1</t>
  </si>
  <si>
    <t>5k/10k - km 2</t>
  </si>
  <si>
    <t>km_2</t>
  </si>
  <si>
    <t>5k - km 3</t>
  </si>
  <si>
    <t>km_3</t>
  </si>
  <si>
    <t>5k - km 4</t>
  </si>
  <si>
    <t>km_4</t>
  </si>
  <si>
    <t>10k - km 3</t>
  </si>
  <si>
    <t>km_5</t>
  </si>
  <si>
    <t>10k - km 4</t>
  </si>
  <si>
    <t>km_6</t>
  </si>
  <si>
    <t>10k - km 5</t>
  </si>
  <si>
    <t>km_7</t>
  </si>
  <si>
    <t>10k - km 6</t>
  </si>
  <si>
    <t>km_8</t>
  </si>
  <si>
    <t>10k - km 7</t>
  </si>
  <si>
    <t>km_9</t>
  </si>
  <si>
    <t>10k - km 8</t>
  </si>
  <si>
    <t>km_10</t>
  </si>
  <si>
    <t>10k - km 9</t>
  </si>
  <si>
    <t>km_11</t>
  </si>
  <si>
    <t>PERCURSO</t>
  </si>
  <si>
    <t>5k esq / 10k dir</t>
  </si>
  <si>
    <t>perc_1</t>
  </si>
  <si>
    <t>5k ret esq / 10k frente</t>
  </si>
  <si>
    <t>perc_2</t>
  </si>
  <si>
    <t>ARENA</t>
  </si>
  <si>
    <t>faixa de chegada</t>
  </si>
  <si>
    <t>fx_cheg</t>
  </si>
  <si>
    <t>dupla face</t>
  </si>
  <si>
    <t>num pódio 1</t>
  </si>
  <si>
    <t>num_podio1</t>
  </si>
  <si>
    <t>router</t>
  </si>
  <si>
    <t>num pódio 2</t>
  </si>
  <si>
    <t>num_podio2</t>
  </si>
  <si>
    <t>num pódio 3</t>
  </si>
  <si>
    <t>num_podio3</t>
  </si>
  <si>
    <t>Testeira guarda volumes</t>
  </si>
  <si>
    <t>test_gv</t>
  </si>
  <si>
    <t>Testeira Posto Médico</t>
  </si>
  <si>
    <t>test_medica</t>
  </si>
  <si>
    <t>Placa Balcão</t>
  </si>
  <si>
    <t>placa balcão Sotreq</t>
  </si>
  <si>
    <t>pl_Sot</t>
  </si>
  <si>
    <t>ps</t>
  </si>
  <si>
    <t>placa balcão Bradesco</t>
  </si>
  <si>
    <t>pl_Bra</t>
  </si>
  <si>
    <t>placa balcão  Pwc</t>
  </si>
  <si>
    <t>pl_Pwc</t>
  </si>
  <si>
    <t>placa balcão Espaço Verde</t>
  </si>
  <si>
    <t>pl_e_verde</t>
  </si>
  <si>
    <t xml:space="preserve">Icone </t>
  </si>
  <si>
    <t xml:space="preserve">Tênis </t>
  </si>
  <si>
    <t>Ico_Têni</t>
  </si>
  <si>
    <t>impresso BLACKOUT</t>
  </si>
  <si>
    <t>Logo Eco Run</t>
  </si>
  <si>
    <t>Letra Caixa</t>
  </si>
  <si>
    <t>Run - Rest Recycle Repeart</t>
  </si>
  <si>
    <t>Letr_Rum</t>
  </si>
  <si>
    <t>Imantadas</t>
  </si>
  <si>
    <t xml:space="preserve">WindBanner </t>
  </si>
  <si>
    <t>Ancar ( Vida Aiva )</t>
  </si>
  <si>
    <t xml:space="preserve">Formato Pena </t>
  </si>
  <si>
    <t>ESTANDES</t>
  </si>
  <si>
    <t>PÓRTICO</t>
  </si>
  <si>
    <t>QUADROS</t>
  </si>
  <si>
    <t>TENDA</t>
  </si>
  <si>
    <t>ITEM</t>
  </si>
  <si>
    <t>MATERIAL</t>
  </si>
  <si>
    <t>M² UNIT</t>
  </si>
  <si>
    <t>M² TOTAL</t>
  </si>
  <si>
    <t>ESTANDE 6X6</t>
  </si>
  <si>
    <t>TESTEIRA</t>
  </si>
  <si>
    <t>PALCO 6X4</t>
  </si>
  <si>
    <t>BACKDROP</t>
  </si>
  <si>
    <t>PÓRTICO BOCA 2M</t>
  </si>
  <si>
    <t>QUADRO [2,60 x 2,60]</t>
  </si>
  <si>
    <t>TENDA 3X3</t>
  </si>
  <si>
    <t>2X1</t>
  </si>
  <si>
    <t>QUADRO [3 x 3]</t>
  </si>
  <si>
    <t>ROLO</t>
  </si>
  <si>
    <t>QUADRO [4,0 x 3,0]</t>
  </si>
  <si>
    <t>QUADRO [5,60 x 3,60]</t>
  </si>
  <si>
    <t>QTD</t>
  </si>
  <si>
    <t>qtd</t>
  </si>
  <si>
    <t>PALCO 8X4</t>
  </si>
  <si>
    <t>PÓRTICO BOCA 4M</t>
  </si>
  <si>
    <t>QUADRO [6,60 x 3,10]</t>
  </si>
  <si>
    <t>TENDA 5X5</t>
  </si>
  <si>
    <t>ESTANDE 9X6</t>
  </si>
  <si>
    <t>LATERAL</t>
  </si>
  <si>
    <t>QUADRO [6,60 x 3,60]</t>
  </si>
  <si>
    <t>BK</t>
  </si>
  <si>
    <t>QUADRO [7,60 x 3,60]</t>
  </si>
  <si>
    <t>DIVERSOS</t>
  </si>
  <si>
    <t>PALCO 21X9</t>
  </si>
  <si>
    <t>FAIXA DE CHEGADA</t>
  </si>
  <si>
    <t>TECIDO</t>
  </si>
  <si>
    <t>PÓRTICO BOCA [4,3M]</t>
  </si>
  <si>
    <t>TENDA 10X10</t>
  </si>
  <si>
    <t>ESTANDE 11X6</t>
  </si>
  <si>
    <t># EDITAVEL #</t>
  </si>
  <si>
    <t>APLIQUE</t>
  </si>
  <si>
    <t>APLIQUE LONADO</t>
  </si>
  <si>
    <t>PÓRTICO BOCA [5M]</t>
  </si>
  <si>
    <t>APLIQUE ADESIVADO</t>
  </si>
  <si>
    <t>ADESIVO</t>
  </si>
  <si>
    <t>PÓRTICO BOCA [6M]</t>
  </si>
  <si>
    <t>PÓRTICO BOCA [6,6M]</t>
  </si>
  <si>
    <t>PÓRTICO BOCA[7M]</t>
  </si>
  <si>
    <t>PÓRTICO BOCA [8M]</t>
  </si>
  <si>
    <t>PÓRTICO BOCA [8,9M]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</si>
</sst>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.00_-;\-* #,##0.00_-;_-* \-??_-;_-@_-"/>
    <numFmt numFmtId="166" formatCode="_-&quot;R$ &quot;* #,##0.00_-;&quot;-R$ &quot;* #,##0.00_-;_-&quot;R$ &quot;* \-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b/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2"/>
      <color rgb="FFFF0000"/>
      <name val="Arial"/>
      <family val="2"/>
      <charset val="1"/>
    </font>
    <font>
      <i/>
      <sz val="11"/>
      <color rgb="FF7F7F7F"/>
      <name val="Calibri"/>
      <family val="2"/>
      <charset val="1"/>
    </font>
    <font>
      <sz val="10"/>
      <name val="Arial"/>
      <family val="2"/>
      <charset val="1"/>
    </font>
    <font>
      <b/>
      <sz val="2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8"/>
      <name val="Arial"/>
      <charset val="1"/>
    </font>
    <font>
      <b/>
      <sz val="11"/>
      <color rgb="FF000000"/>
      <name val="Calibri"/>
      <family val="2"/>
      <charset val="1"/>
      <scheme val="minor"/>
    </font>
    <font>
      <b/>
      <sz val="11"/>
      <color rgb="FFFF0000"/>
      <name val="Calibri"/>
      <scheme val="minor"/>
    </font>
    <font>
      <b/>
      <sz val="8"/>
      <color theme="1"/>
      <name val="Calibri"/>
      <family val="2"/>
      <scheme val="minor"/>
    </font>
    <font>
      <b/>
      <sz val="9"/>
      <name val="Arial"/>
      <charset val="1"/>
    </font>
    <font>
      <b/>
      <sz val="25"/>
      <name val="Arial"/>
    </font>
    <font>
      <sz val="12"/>
      <name val="Arial"/>
    </font>
    <font>
      <b/>
      <sz val="12"/>
      <name val="Arial"/>
    </font>
    <font>
      <u/>
      <sz val="12"/>
      <name val="Arial"/>
    </font>
    <font>
      <b/>
      <sz val="12"/>
      <color rgb="FF000000"/>
      <name val="Arial"/>
    </font>
    <font>
      <sz val="12"/>
      <color rgb="FF000000"/>
      <name val="Arial"/>
    </font>
    <font>
      <i/>
      <sz val="12"/>
      <color rgb="FF000000"/>
      <name val="Arial"/>
    </font>
    <font>
      <sz val="11"/>
      <name val="Arial"/>
      <charset val="1"/>
    </font>
    <font>
      <sz val="11"/>
      <color rgb="FF000000"/>
      <name val="Arial"/>
    </font>
    <font>
      <sz val="11"/>
      <name val="Arial"/>
    </font>
    <font>
      <b/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AEAAAA"/>
        <bgColor rgb="FFFFFF00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4" fillId="0" borderId="0"/>
    <xf numFmtId="44" fontId="1" fillId="0" borderId="0" applyFont="0" applyFill="0" applyBorder="0" applyAlignment="0" applyProtection="0"/>
    <xf numFmtId="0" fontId="11" fillId="0" borderId="0" applyBorder="0" applyProtection="0"/>
    <xf numFmtId="0" fontId="4" fillId="0" borderId="0"/>
    <xf numFmtId="43" fontId="1" fillId="0" borderId="0" applyFont="0" applyFill="0" applyBorder="0" applyAlignment="0" applyProtection="0"/>
    <xf numFmtId="165" fontId="12" fillId="0" borderId="0" applyBorder="0" applyProtection="0"/>
    <xf numFmtId="0" fontId="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Border="0" applyProtection="0"/>
    <xf numFmtId="0" fontId="16" fillId="0" borderId="0"/>
    <xf numFmtId="0" fontId="17" fillId="0" borderId="0" applyNumberFormat="0" applyFill="0" applyBorder="0" applyAlignment="0" applyProtection="0"/>
  </cellStyleXfs>
  <cellXfs count="246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1" applyFont="1" applyBorder="1"/>
    <xf numFmtId="0" fontId="3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5" xfId="0" applyBorder="1"/>
    <xf numFmtId="2" fontId="0" fillId="0" borderId="5" xfId="0" applyNumberFormat="1" applyBorder="1"/>
    <xf numFmtId="0" fontId="0" fillId="0" borderId="10" xfId="0" applyBorder="1"/>
    <xf numFmtId="0" fontId="0" fillId="2" borderId="4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0" borderId="8" xfId="1" applyFont="1" applyBorder="1"/>
    <xf numFmtId="0" fontId="0" fillId="4" borderId="2" xfId="0" applyFill="1" applyBorder="1" applyAlignment="1">
      <alignment vertical="center"/>
    </xf>
    <xf numFmtId="0" fontId="0" fillId="4" borderId="5" xfId="0" applyFill="1" applyBorder="1"/>
    <xf numFmtId="0" fontId="0" fillId="4" borderId="5" xfId="0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0" borderId="5" xfId="1" applyFont="1" applyBorder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2" fontId="5" fillId="0" borderId="2" xfId="1" applyNumberFormat="1" applyFont="1" applyBorder="1"/>
    <xf numFmtId="2" fontId="5" fillId="0" borderId="5" xfId="1" applyNumberFormat="1" applyFont="1" applyBorder="1"/>
    <xf numFmtId="2" fontId="0" fillId="0" borderId="2" xfId="0" applyNumberFormat="1" applyBorder="1" applyAlignment="1">
      <alignment horizontal="center"/>
    </xf>
    <xf numFmtId="0" fontId="0" fillId="4" borderId="15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0" xfId="0" applyFill="1" applyBorder="1"/>
    <xf numFmtId="2" fontId="0" fillId="0" borderId="1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5" fillId="0" borderId="15" xfId="1" applyFont="1" applyBorder="1"/>
    <xf numFmtId="0" fontId="8" fillId="0" borderId="0" xfId="0" applyFont="1"/>
    <xf numFmtId="0" fontId="8" fillId="5" borderId="0" xfId="0" applyFont="1" applyFill="1"/>
    <xf numFmtId="0" fontId="5" fillId="0" borderId="0" xfId="1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5" borderId="2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2" fontId="7" fillId="8" borderId="0" xfId="0" applyNumberFormat="1" applyFont="1" applyFill="1" applyAlignment="1">
      <alignment horizontal="center"/>
    </xf>
    <xf numFmtId="2" fontId="15" fillId="7" borderId="0" xfId="0" applyNumberFormat="1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8" fillId="5" borderId="2" xfId="0" applyFont="1" applyFill="1" applyBorder="1"/>
    <xf numFmtId="2" fontId="8" fillId="5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2" fontId="7" fillId="9" borderId="2" xfId="0" applyNumberFormat="1" applyFont="1" applyFill="1" applyBorder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2" fontId="15" fillId="7" borderId="2" xfId="0" applyNumberFormat="1" applyFont="1" applyFill="1" applyBorder="1" applyAlignment="1">
      <alignment horizontal="center"/>
    </xf>
    <xf numFmtId="0" fontId="0" fillId="7" borderId="0" xfId="0" applyFill="1"/>
    <xf numFmtId="0" fontId="8" fillId="7" borderId="0" xfId="0" applyFont="1" applyFill="1"/>
    <xf numFmtId="0" fontId="9" fillId="7" borderId="0" xfId="0" applyFont="1" applyFill="1"/>
    <xf numFmtId="0" fontId="2" fillId="7" borderId="0" xfId="0" applyFont="1" applyFill="1" applyAlignment="1">
      <alignment horizontal="center"/>
    </xf>
    <xf numFmtId="164" fontId="0" fillId="7" borderId="0" xfId="0" applyNumberFormat="1" applyFill="1"/>
    <xf numFmtId="2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0" fontId="0" fillId="7" borderId="15" xfId="0" applyFill="1" applyBorder="1"/>
    <xf numFmtId="0" fontId="6" fillId="7" borderId="0" xfId="0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18" fillId="5" borderId="14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 vertical="center"/>
    </xf>
    <xf numFmtId="2" fontId="8" fillId="5" borderId="0" xfId="0" applyNumberFormat="1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2" fontId="24" fillId="7" borderId="5" xfId="0" applyNumberFormat="1" applyFont="1" applyFill="1" applyBorder="1" applyAlignment="1">
      <alignment horizontal="center"/>
    </xf>
    <xf numFmtId="0" fontId="14" fillId="7" borderId="5" xfId="0" applyFont="1" applyFill="1" applyBorder="1"/>
    <xf numFmtId="2" fontId="15" fillId="7" borderId="5" xfId="0" applyNumberFormat="1" applyFont="1" applyFill="1" applyBorder="1" applyAlignment="1">
      <alignment horizontal="center"/>
    </xf>
    <xf numFmtId="0" fontId="0" fillId="7" borderId="18" xfId="0" applyFill="1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0" fillId="7" borderId="7" xfId="0" applyFill="1" applyBorder="1"/>
    <xf numFmtId="0" fontId="0" fillId="7" borderId="21" xfId="0" applyFill="1" applyBorder="1"/>
    <xf numFmtId="2" fontId="0" fillId="7" borderId="4" xfId="0" applyNumberFormat="1" applyFill="1" applyBorder="1" applyAlignment="1">
      <alignment horizontal="center"/>
    </xf>
    <xf numFmtId="0" fontId="0" fillId="7" borderId="1" xfId="0" applyFill="1" applyBorder="1"/>
    <xf numFmtId="0" fontId="24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2" fontId="14" fillId="7" borderId="5" xfId="0" applyNumberFormat="1" applyFont="1" applyFill="1" applyBorder="1" applyAlignment="1">
      <alignment horizontal="center"/>
    </xf>
    <xf numFmtId="2" fontId="15" fillId="7" borderId="15" xfId="0" applyNumberFormat="1" applyFont="1" applyFill="1" applyBorder="1" applyAlignment="1">
      <alignment horizontal="left"/>
    </xf>
    <xf numFmtId="0" fontId="8" fillId="9" borderId="4" xfId="0" applyFont="1" applyFill="1" applyBorder="1"/>
    <xf numFmtId="0" fontId="7" fillId="9" borderId="4" xfId="0" applyFont="1" applyFill="1" applyBorder="1" applyAlignment="1">
      <alignment horizontal="center"/>
    </xf>
    <xf numFmtId="2" fontId="7" fillId="9" borderId="4" xfId="0" applyNumberFormat="1" applyFont="1" applyFill="1" applyBorder="1" applyAlignment="1">
      <alignment horizontal="center"/>
    </xf>
    <xf numFmtId="0" fontId="14" fillId="7" borderId="10" xfId="0" applyFont="1" applyFill="1" applyBorder="1"/>
    <xf numFmtId="2" fontId="26" fillId="7" borderId="2" xfId="0" applyNumberFormat="1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2" fontId="26" fillId="6" borderId="2" xfId="0" applyNumberFormat="1" applyFont="1" applyFill="1" applyBorder="1" applyAlignment="1">
      <alignment horizontal="center"/>
    </xf>
    <xf numFmtId="2" fontId="27" fillId="7" borderId="2" xfId="0" applyNumberFormat="1" applyFont="1" applyFill="1" applyBorder="1" applyAlignment="1">
      <alignment horizontal="center"/>
    </xf>
    <xf numFmtId="2" fontId="27" fillId="7" borderId="5" xfId="0" applyNumberFormat="1" applyFont="1" applyFill="1" applyBorder="1" applyAlignment="1">
      <alignment horizontal="center"/>
    </xf>
    <xf numFmtId="2" fontId="14" fillId="7" borderId="7" xfId="0" applyNumberFormat="1" applyFont="1" applyFill="1" applyBorder="1" applyAlignment="1">
      <alignment horizontal="center"/>
    </xf>
    <xf numFmtId="0" fontId="15" fillId="7" borderId="7" xfId="0" applyFont="1" applyFill="1" applyBorder="1" applyAlignment="1">
      <alignment horizontal="center"/>
    </xf>
    <xf numFmtId="2" fontId="15" fillId="7" borderId="7" xfId="0" applyNumberFormat="1" applyFont="1" applyFill="1" applyBorder="1" applyAlignment="1">
      <alignment horizontal="center"/>
    </xf>
    <xf numFmtId="2" fontId="26" fillId="6" borderId="4" xfId="0" applyNumberFormat="1" applyFont="1" applyFill="1" applyBorder="1" applyAlignment="1">
      <alignment horizontal="center"/>
    </xf>
    <xf numFmtId="2" fontId="26" fillId="6" borderId="1" xfId="0" applyNumberFormat="1" applyFont="1" applyFill="1" applyBorder="1" applyAlignment="1">
      <alignment horizontal="center"/>
    </xf>
    <xf numFmtId="0" fontId="0" fillId="7" borderId="4" xfId="0" applyFill="1" applyBorder="1"/>
    <xf numFmtId="0" fontId="0" fillId="7" borderId="5" xfId="0" applyFill="1" applyBorder="1" applyAlignment="1">
      <alignment horizontal="center" wrapText="1"/>
    </xf>
    <xf numFmtId="0" fontId="0" fillId="7" borderId="4" xfId="0" applyFill="1" applyBorder="1" applyAlignment="1">
      <alignment horizontal="center"/>
    </xf>
    <xf numFmtId="2" fontId="0" fillId="7" borderId="23" xfId="0" applyNumberForma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0" fontId="28" fillId="0" borderId="7" xfId="0" applyFont="1" applyBorder="1" applyAlignment="1">
      <alignment horizontal="center" vertical="center"/>
    </xf>
    <xf numFmtId="0" fontId="23" fillId="7" borderId="7" xfId="0" applyFont="1" applyFill="1" applyBorder="1"/>
    <xf numFmtId="2" fontId="26" fillId="6" borderId="14" xfId="0" applyNumberFormat="1" applyFont="1" applyFill="1" applyBorder="1" applyAlignment="1">
      <alignment horizontal="center"/>
    </xf>
    <xf numFmtId="0" fontId="31" fillId="0" borderId="0" xfId="0" applyFont="1"/>
    <xf numFmtId="0" fontId="31" fillId="0" borderId="23" xfId="0" applyFont="1" applyBorder="1"/>
    <xf numFmtId="0" fontId="31" fillId="0" borderId="25" xfId="0" applyFont="1" applyBorder="1"/>
    <xf numFmtId="16" fontId="31" fillId="0" borderId="25" xfId="0" applyNumberFormat="1" applyFont="1" applyBorder="1"/>
    <xf numFmtId="0" fontId="31" fillId="0" borderId="1" xfId="0" applyFont="1" applyBorder="1"/>
    <xf numFmtId="0" fontId="31" fillId="0" borderId="18" xfId="0" applyFont="1" applyBorder="1"/>
    <xf numFmtId="0" fontId="31" fillId="0" borderId="2" xfId="0" applyFont="1" applyBorder="1"/>
    <xf numFmtId="16" fontId="32" fillId="10" borderId="15" xfId="0" applyNumberFormat="1" applyFont="1" applyFill="1" applyBorder="1"/>
    <xf numFmtId="0" fontId="33" fillId="0" borderId="1" xfId="0" applyFont="1" applyBorder="1"/>
    <xf numFmtId="16" fontId="32" fillId="10" borderId="18" xfId="0" applyNumberFormat="1" applyFont="1" applyFill="1" applyBorder="1"/>
    <xf numFmtId="0" fontId="34" fillId="0" borderId="2" xfId="0" applyFont="1" applyBorder="1"/>
    <xf numFmtId="0" fontId="32" fillId="11" borderId="15" xfId="0" applyFont="1" applyFill="1" applyBorder="1"/>
    <xf numFmtId="0" fontId="34" fillId="0" borderId="18" xfId="0" applyFont="1" applyBorder="1"/>
    <xf numFmtId="0" fontId="34" fillId="0" borderId="15" xfId="0" applyFont="1" applyBorder="1"/>
    <xf numFmtId="0" fontId="34" fillId="12" borderId="15" xfId="0" applyFont="1" applyFill="1" applyBorder="1"/>
    <xf numFmtId="0" fontId="32" fillId="0" borderId="0" xfId="0" applyFont="1"/>
    <xf numFmtId="0" fontId="31" fillId="11" borderId="0" xfId="0" applyFont="1" applyFill="1"/>
    <xf numFmtId="0" fontId="35" fillId="0" borderId="1" xfId="0" applyFont="1" applyBorder="1"/>
    <xf numFmtId="0" fontId="35" fillId="0" borderId="18" xfId="0" applyFont="1" applyBorder="1"/>
    <xf numFmtId="0" fontId="35" fillId="0" borderId="0" xfId="0" applyFont="1"/>
    <xf numFmtId="0" fontId="36" fillId="0" borderId="2" xfId="0" applyFont="1" applyBorder="1"/>
    <xf numFmtId="0" fontId="37" fillId="0" borderId="15" xfId="0" applyFont="1" applyBorder="1"/>
    <xf numFmtId="0" fontId="38" fillId="11" borderId="18" xfId="0" applyFont="1" applyFill="1" applyBorder="1"/>
    <xf numFmtId="0" fontId="37" fillId="0" borderId="18" xfId="0" applyFont="1" applyBorder="1"/>
    <xf numFmtId="0" fontId="39" fillId="0" borderId="15" xfId="0" applyFont="1" applyBorder="1" applyAlignment="1">
      <alignment wrapText="1"/>
    </xf>
    <xf numFmtId="0" fontId="24" fillId="0" borderId="27" xfId="0" applyFont="1" applyBorder="1"/>
    <xf numFmtId="0" fontId="38" fillId="0" borderId="1" xfId="0" applyFont="1" applyBorder="1"/>
    <xf numFmtId="0" fontId="38" fillId="0" borderId="18" xfId="0" applyFont="1" applyBorder="1"/>
    <xf numFmtId="0" fontId="35" fillId="0" borderId="15" xfId="0" applyFont="1" applyBorder="1"/>
    <xf numFmtId="0" fontId="36" fillId="0" borderId="1" xfId="0" applyFont="1" applyBorder="1"/>
    <xf numFmtId="0" fontId="39" fillId="0" borderId="18" xfId="0" applyFont="1" applyBorder="1" applyAlignment="1">
      <alignment wrapText="1"/>
    </xf>
    <xf numFmtId="0" fontId="24" fillId="0" borderId="28" xfId="0" applyFont="1" applyBorder="1"/>
    <xf numFmtId="0" fontId="24" fillId="0" borderId="18" xfId="0" applyFont="1" applyBorder="1"/>
    <xf numFmtId="0" fontId="34" fillId="0" borderId="1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14" fillId="7" borderId="8" xfId="0" applyNumberFormat="1" applyFont="1" applyFill="1" applyBorder="1" applyAlignment="1">
      <alignment horizontal="center"/>
    </xf>
    <xf numFmtId="2" fontId="14" fillId="7" borderId="24" xfId="0" applyNumberFormat="1" applyFont="1" applyFill="1" applyBorder="1" applyAlignment="1">
      <alignment horizontal="center"/>
    </xf>
    <xf numFmtId="2" fontId="0" fillId="7" borderId="8" xfId="0" applyNumberFormat="1" applyFill="1" applyBorder="1" applyAlignment="1">
      <alignment horizontal="center"/>
    </xf>
    <xf numFmtId="2" fontId="0" fillId="7" borderId="18" xfId="0" applyNumberFormat="1" applyFill="1" applyBorder="1" applyAlignment="1">
      <alignment horizontal="center"/>
    </xf>
    <xf numFmtId="2" fontId="0" fillId="7" borderId="15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15" fillId="7" borderId="8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2" fontId="24" fillId="7" borderId="8" xfId="0" applyNumberFormat="1" applyFont="1" applyFill="1" applyBorder="1" applyAlignment="1">
      <alignment horizontal="center"/>
    </xf>
    <xf numFmtId="2" fontId="0" fillId="7" borderId="24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14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40" fillId="0" borderId="2" xfId="0" applyNumberFormat="1" applyFont="1" applyBorder="1" applyAlignment="1">
      <alignment horizontal="center"/>
    </xf>
    <xf numFmtId="0" fontId="0" fillId="0" borderId="4" xfId="0" applyBorder="1"/>
    <xf numFmtId="2" fontId="40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40" fillId="7" borderId="1" xfId="0" applyNumberFormat="1" applyFont="1" applyFill="1" applyBorder="1" applyAlignment="1">
      <alignment horizontal="center"/>
    </xf>
    <xf numFmtId="0" fontId="4" fillId="13" borderId="2" xfId="0" applyFont="1" applyFill="1" applyBorder="1"/>
    <xf numFmtId="2" fontId="38" fillId="0" borderId="15" xfId="0" applyNumberFormat="1" applyFont="1" applyBorder="1"/>
    <xf numFmtId="0" fontId="0" fillId="7" borderId="20" xfId="0" applyFill="1" applyBorder="1"/>
    <xf numFmtId="0" fontId="14" fillId="7" borderId="21" xfId="0" applyFont="1" applyFill="1" applyBorder="1"/>
    <xf numFmtId="2" fontId="0" fillId="7" borderId="30" xfId="0" applyNumberFormat="1" applyFill="1" applyBorder="1" applyAlignment="1">
      <alignment horizontal="center"/>
    </xf>
    <xf numFmtId="164" fontId="2" fillId="7" borderId="0" xfId="0" applyNumberFormat="1" applyFont="1" applyFill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15" fillId="7" borderId="4" xfId="0" applyNumberFormat="1" applyFont="1" applyFill="1" applyBorder="1" applyAlignment="1">
      <alignment horizontal="center"/>
    </xf>
    <xf numFmtId="2" fontId="40" fillId="0" borderId="5" xfId="0" applyNumberFormat="1" applyFont="1" applyBorder="1" applyAlignment="1">
      <alignment horizontal="center"/>
    </xf>
    <xf numFmtId="0" fontId="4" fillId="13" borderId="5" xfId="0" applyFont="1" applyFill="1" applyBorder="1"/>
    <xf numFmtId="2" fontId="26" fillId="7" borderId="5" xfId="0" applyNumberFormat="1" applyFont="1" applyFill="1" applyBorder="1" applyAlignment="1">
      <alignment horizontal="center"/>
    </xf>
    <xf numFmtId="2" fontId="26" fillId="7" borderId="1" xfId="0" applyNumberFormat="1" applyFont="1" applyFill="1" applyBorder="1" applyAlignment="1">
      <alignment horizontal="center"/>
    </xf>
    <xf numFmtId="2" fontId="15" fillId="7" borderId="23" xfId="0" applyNumberFormat="1" applyFont="1" applyFill="1" applyBorder="1" applyAlignment="1">
      <alignment horizontal="center"/>
    </xf>
    <xf numFmtId="2" fontId="40" fillId="7" borderId="5" xfId="0" applyNumberFormat="1" applyFont="1" applyFill="1" applyBorder="1" applyAlignment="1">
      <alignment horizontal="center"/>
    </xf>
    <xf numFmtId="2" fontId="26" fillId="6" borderId="30" xfId="0" applyNumberFormat="1" applyFont="1" applyFill="1" applyBorder="1" applyAlignment="1">
      <alignment horizontal="center"/>
    </xf>
    <xf numFmtId="2" fontId="26" fillId="7" borderId="4" xfId="0" applyNumberFormat="1" applyFont="1" applyFill="1" applyBorder="1" applyAlignment="1">
      <alignment horizontal="center"/>
    </xf>
    <xf numFmtId="0" fontId="14" fillId="7" borderId="8" xfId="0" applyFont="1" applyFill="1" applyBorder="1"/>
    <xf numFmtId="0" fontId="0" fillId="7" borderId="24" xfId="0" applyFill="1" applyBorder="1"/>
    <xf numFmtId="0" fontId="0" fillId="7" borderId="8" xfId="0" applyFill="1" applyBorder="1"/>
    <xf numFmtId="0" fontId="0" fillId="7" borderId="22" xfId="0" applyFill="1" applyBorder="1"/>
    <xf numFmtId="0" fontId="14" fillId="7" borderId="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5" xfId="0" applyFont="1" applyBorder="1" applyAlignment="1">
      <alignment horizontal="center"/>
    </xf>
    <xf numFmtId="164" fontId="2" fillId="7" borderId="0" xfId="0" applyNumberFormat="1" applyFont="1" applyFill="1" applyAlignment="1">
      <alignment horizontal="center" vertical="center"/>
    </xf>
    <xf numFmtId="2" fontId="7" fillId="9" borderId="4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20" fillId="0" borderId="1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0" fontId="29" fillId="5" borderId="10" xfId="0" applyFont="1" applyFill="1" applyBorder="1" applyAlignment="1">
      <alignment horizontal="center" vertical="center"/>
    </xf>
    <xf numFmtId="0" fontId="25" fillId="5" borderId="19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0" fillId="0" borderId="0" xfId="0" applyFont="1" applyAlignment="1"/>
    <xf numFmtId="0" fontId="31" fillId="0" borderId="0" xfId="0" applyFont="1" applyAlignment="1"/>
    <xf numFmtId="0" fontId="32" fillId="0" borderId="3" xfId="0" applyFont="1" applyBorder="1" applyAlignment="1"/>
    <xf numFmtId="0" fontId="31" fillId="0" borderId="3" xfId="0" applyFont="1" applyBorder="1" applyAlignment="1"/>
    <xf numFmtId="0" fontId="34" fillId="12" borderId="21" xfId="0" applyFont="1" applyFill="1" applyBorder="1" applyAlignment="1"/>
    <xf numFmtId="0" fontId="34" fillId="12" borderId="26" xfId="0" applyFont="1" applyFill="1" applyBorder="1" applyAlignment="1"/>
    <xf numFmtId="0" fontId="31" fillId="0" borderId="21" xfId="0" applyFont="1" applyBorder="1" applyAlignment="1"/>
  </cellXfs>
  <cellStyles count="45">
    <cellStyle name="Moeda 10" xfId="42" xr:uid="{3A88C308-B937-466E-96A8-D7C36E6E419E}"/>
    <cellStyle name="Moeda 2" xfId="2" xr:uid="{E475AF28-C82B-4193-BF3E-C6C800488A9A}"/>
    <cellStyle name="Moeda 2 2" xfId="12" xr:uid="{3ECC3DF6-23D7-4C20-99C7-DB13C86E8597}"/>
    <cellStyle name="Moeda 2 3" xfId="18" xr:uid="{9068C02D-FEF1-4A83-B488-F986A3661BC8}"/>
    <cellStyle name="Moeda 2 4" xfId="24" xr:uid="{19E9CE2F-8A8D-4B80-99AE-4E3F7FEA1598}"/>
    <cellStyle name="Moeda 2 5" xfId="30" xr:uid="{C733049C-A029-48E1-9ABB-D18D70F9D422}"/>
    <cellStyle name="Moeda 2 6" xfId="36" xr:uid="{9D020F42-5584-4B98-836D-036E103C0AC8}"/>
    <cellStyle name="Moeda 3" xfId="10" xr:uid="{763CB35B-BFDB-4DC7-8C2C-9A3E87944F72}"/>
    <cellStyle name="Moeda 3 2" xfId="16" xr:uid="{978ABCC1-90BF-4094-ACCE-7282713CAA15}"/>
    <cellStyle name="Moeda 3 3" xfId="22" xr:uid="{0725E777-6049-4BE4-9C52-022F44A67545}"/>
    <cellStyle name="Moeda 3 4" xfId="28" xr:uid="{37981693-B4D8-43C5-A809-F8F933E5646D}"/>
    <cellStyle name="Moeda 3 5" xfId="34" xr:uid="{4390580B-E98E-44B1-9FFF-5159F75734CC}"/>
    <cellStyle name="Moeda 3 6" xfId="40" xr:uid="{1F4773BC-DDC5-45A7-851D-0724EF2D7AE3}"/>
    <cellStyle name="Moeda 4" xfId="9" xr:uid="{727544D0-E06A-477B-B779-C3ED33C9BF23}"/>
    <cellStyle name="Moeda 5" xfId="15" xr:uid="{B4555F64-4330-487C-BC38-8AD2C51BE625}"/>
    <cellStyle name="Moeda 6" xfId="21" xr:uid="{FB781FEC-3275-49F9-B712-6463DA69E57F}"/>
    <cellStyle name="Moeda 7" xfId="27" xr:uid="{E809AE81-F574-4319-BF25-20439D7D59FB}"/>
    <cellStyle name="Moeda 8" xfId="33" xr:uid="{DFBA6060-1997-4EEC-A4C2-3875279F25F0}"/>
    <cellStyle name="Moeda 9" xfId="39" xr:uid="{CDCFC537-0F13-4248-8394-B67263A03848}"/>
    <cellStyle name="Normal" xfId="0" builtinId="0"/>
    <cellStyle name="Normal 2" xfId="1" xr:uid="{C6A20D59-FDB5-43AE-B186-1B881B670739}"/>
    <cellStyle name="Normal 2 2" xfId="4" xr:uid="{D008EA66-20CF-4B16-8E68-A3C333CD290F}"/>
    <cellStyle name="Normal 3" xfId="43" xr:uid="{A41C7242-485E-4131-95F2-A1CADE241408}"/>
    <cellStyle name="Texto Explicativo 2" xfId="3" xr:uid="{CD18E15D-7A05-4A47-B893-750452C03D5D}"/>
    <cellStyle name="Texto Explicativo 5" xfId="7" xr:uid="{F6402BAC-BAD2-4CB7-8C1B-9A08273794FB}"/>
    <cellStyle name="Título 5" xfId="44" xr:uid="{7C3DDCD0-BAA3-46CA-A07B-53B8332AF687}"/>
    <cellStyle name="Vírgula 2" xfId="5" xr:uid="{A24A644B-E839-42A4-9B0D-C2A88BA6C789}"/>
    <cellStyle name="Vírgula 2 2" xfId="13" xr:uid="{7777A6BE-C29E-4734-AF13-6091BAB9C3DE}"/>
    <cellStyle name="Vírgula 2 3" xfId="19" xr:uid="{41188330-DCD5-4B5D-AC7B-1B09ED596E01}"/>
    <cellStyle name="Vírgula 2 4" xfId="25" xr:uid="{675893EA-5444-4A21-B259-3944B7CFD6A2}"/>
    <cellStyle name="Vírgula 2 5" xfId="6" xr:uid="{0DAE3E8E-7307-4E39-A5B8-68602A93489C}"/>
    <cellStyle name="Vírgula 2 6" xfId="31" xr:uid="{DD631D5F-2AC0-4AF7-8231-B80108DE724F}"/>
    <cellStyle name="Vírgula 2 7" xfId="37" xr:uid="{E27F2AF4-C333-4903-82E7-BA32AE0A08E5}"/>
    <cellStyle name="Vírgula 3" xfId="11" xr:uid="{FC8DDBB1-77BC-4B17-8AD0-5715128CDDB5}"/>
    <cellStyle name="Vírgula 3 2" xfId="17" xr:uid="{D2FCC685-747D-4E95-B2A2-614DC96086DB}"/>
    <cellStyle name="Vírgula 3 3" xfId="23" xr:uid="{AB1F410E-9279-48B0-948C-1B453A144DB9}"/>
    <cellStyle name="Vírgula 3 4" xfId="29" xr:uid="{C2CBB3BA-6DEE-4364-9939-69DE703D7DF1}"/>
    <cellStyle name="Vírgula 3 5" xfId="35" xr:uid="{3B8603F9-4908-426B-8E2C-D3EB5EBCC91B}"/>
    <cellStyle name="Vírgula 3 6" xfId="41" xr:uid="{8C2F87F9-2E71-4038-A545-854F2FDB9259}"/>
    <cellStyle name="Vírgula 4" xfId="8" xr:uid="{7C6E69B0-8333-488F-AF2F-2684FBB19DB2}"/>
    <cellStyle name="Vírgula 5" xfId="14" xr:uid="{B01B3D0B-4CB6-49DE-ADB7-AA1D5FE0D036}"/>
    <cellStyle name="Vírgula 6" xfId="20" xr:uid="{E75C2D4B-B513-41DB-93B1-F6D3C06BD914}"/>
    <cellStyle name="Vírgula 7" xfId="26" xr:uid="{591938C4-686E-4A12-AA4B-D5968D088485}"/>
    <cellStyle name="Vírgula 8" xfId="32" xr:uid="{EA083401-694D-46DC-8C70-B5D10808EA77}"/>
    <cellStyle name="Vírgula 9" xfId="38" xr:uid="{7561E2E6-0362-4FBE-85CA-C0B0BC883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142875</xdr:rowOff>
    </xdr:from>
    <xdr:to>
      <xdr:col>3</xdr:col>
      <xdr:colOff>476250</xdr:colOff>
      <xdr:row>8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D8356D-5E69-5184-4FA6-ED839431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42875"/>
          <a:ext cx="2124075" cy="15144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0</xdr:row>
      <xdr:rowOff>0</xdr:rowOff>
    </xdr:from>
    <xdr:to>
      <xdr:col>7</xdr:col>
      <xdr:colOff>200025</xdr:colOff>
      <xdr:row>10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B67ABB-8D5C-77FA-1B13-CF851B32E071}"/>
            </a:ext>
            <a:ext uri="{147F2762-F138-4A5C-976F-8EAC2B608ADB}">
              <a16:predDERef xmlns:a16="http://schemas.microsoft.com/office/drawing/2014/main" pred="{41D8356D-5E69-5184-4FA6-ED839431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6025" y="0"/>
          <a:ext cx="1981200" cy="19145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384A-44AC-489C-95E9-98619D2BFAB6}">
  <dimension ref="A1:L26"/>
  <sheetViews>
    <sheetView topLeftCell="A11" workbookViewId="0">
      <selection activeCell="G26" sqref="G26"/>
    </sheetView>
  </sheetViews>
  <sheetFormatPr defaultRowHeight="15"/>
  <cols>
    <col min="1" max="1" width="31.7109375" bestFit="1" customWidth="1"/>
    <col min="2" max="2" width="44.7109375" bestFit="1" customWidth="1"/>
    <col min="10" max="10" width="15.28515625" customWidth="1"/>
  </cols>
  <sheetData>
    <row r="1" spans="1:12" ht="15" customHeight="1">
      <c r="A1" s="239" t="s">
        <v>0</v>
      </c>
      <c r="B1" s="239"/>
      <c r="C1" s="240"/>
      <c r="D1" s="240"/>
      <c r="E1" s="115"/>
      <c r="F1" s="115"/>
      <c r="G1" s="115"/>
      <c r="H1" s="115"/>
      <c r="I1" s="115"/>
      <c r="J1" s="115"/>
      <c r="K1" s="115"/>
      <c r="L1" s="115"/>
    </row>
    <row r="2" spans="1:12" ht="15" customHeight="1">
      <c r="A2" s="241" t="s">
        <v>1</v>
      </c>
      <c r="B2" s="241"/>
      <c r="C2" s="240"/>
      <c r="D2" s="240"/>
      <c r="E2" s="115"/>
      <c r="F2" s="115"/>
      <c r="G2" s="115"/>
      <c r="H2" s="115"/>
      <c r="I2" s="115"/>
      <c r="J2" s="115"/>
      <c r="K2" s="115"/>
      <c r="L2" s="115"/>
    </row>
    <row r="3" spans="1:12" ht="15" customHeight="1">
      <c r="A3" s="116" t="s">
        <v>2</v>
      </c>
      <c r="B3" s="118">
        <v>46211</v>
      </c>
      <c r="C3" s="240" t="s">
        <v>3</v>
      </c>
      <c r="D3" s="240"/>
      <c r="E3" s="115"/>
      <c r="F3" s="115"/>
      <c r="G3" s="115"/>
      <c r="H3" s="115"/>
      <c r="I3" s="115"/>
      <c r="J3" s="115"/>
      <c r="K3" s="115"/>
      <c r="L3" s="115"/>
    </row>
    <row r="4" spans="1:12" ht="15" customHeight="1">
      <c r="A4" s="116" t="s">
        <v>4</v>
      </c>
      <c r="B4" s="117" t="s">
        <v>5</v>
      </c>
      <c r="C4" s="240" t="s">
        <v>3</v>
      </c>
      <c r="D4" s="240"/>
      <c r="E4" s="115"/>
      <c r="F4" s="115"/>
      <c r="G4" s="115"/>
      <c r="H4" s="115"/>
      <c r="I4" s="115"/>
      <c r="J4" s="115"/>
      <c r="K4" s="115"/>
      <c r="L4" s="115"/>
    </row>
    <row r="5" spans="1:12" ht="15" customHeight="1">
      <c r="A5" s="119" t="s">
        <v>6</v>
      </c>
      <c r="B5" s="120" t="s">
        <v>7</v>
      </c>
      <c r="C5" s="240" t="s">
        <v>3</v>
      </c>
      <c r="D5" s="240"/>
      <c r="E5" s="115"/>
      <c r="F5" s="115"/>
      <c r="G5" s="115"/>
      <c r="H5" s="115"/>
      <c r="I5" s="115"/>
      <c r="J5" s="115"/>
      <c r="K5" s="115"/>
      <c r="L5" s="115"/>
    </row>
    <row r="6" spans="1:12" ht="15" customHeight="1">
      <c r="A6" s="115"/>
      <c r="B6" s="115"/>
      <c r="C6" s="240"/>
      <c r="D6" s="240"/>
      <c r="E6" s="115"/>
      <c r="F6" s="115"/>
      <c r="G6" s="115"/>
      <c r="H6" s="115"/>
      <c r="I6" s="115"/>
      <c r="J6" s="115"/>
      <c r="K6" s="115"/>
      <c r="L6" s="115"/>
    </row>
    <row r="7" spans="1:12" ht="15" customHeight="1">
      <c r="A7" s="241" t="s">
        <v>8</v>
      </c>
      <c r="B7" s="241"/>
      <c r="C7" s="240"/>
      <c r="D7" s="240"/>
      <c r="E7" s="115"/>
      <c r="F7" s="115"/>
      <c r="G7" s="115"/>
      <c r="H7" s="115"/>
      <c r="I7" s="115"/>
      <c r="J7" s="115"/>
      <c r="K7" s="115"/>
      <c r="L7" s="115"/>
    </row>
    <row r="8" spans="1:12" ht="15" customHeight="1">
      <c r="A8" s="116" t="s">
        <v>9</v>
      </c>
      <c r="B8" s="117" t="s">
        <v>10</v>
      </c>
      <c r="C8" s="240" t="s">
        <v>3</v>
      </c>
      <c r="D8" s="240"/>
      <c r="E8" s="115"/>
      <c r="F8" s="115"/>
      <c r="G8" s="115"/>
      <c r="H8" s="115"/>
      <c r="I8" s="115"/>
      <c r="J8" s="115"/>
      <c r="K8" s="115"/>
      <c r="L8" s="115"/>
    </row>
    <row r="9" spans="1:12" ht="15" customHeight="1">
      <c r="A9" s="119" t="s">
        <v>11</v>
      </c>
      <c r="B9" s="120" t="s">
        <v>3</v>
      </c>
      <c r="C9" s="240" t="s">
        <v>3</v>
      </c>
      <c r="D9" s="240"/>
      <c r="E9" s="115"/>
      <c r="F9" s="115"/>
      <c r="G9" s="115"/>
      <c r="H9" s="115"/>
      <c r="I9" s="115"/>
      <c r="J9" s="115"/>
      <c r="K9" s="115"/>
      <c r="L9" s="115"/>
    </row>
    <row r="10" spans="1:12" ht="15" customHeight="1">
      <c r="A10" s="115"/>
      <c r="B10" s="115"/>
      <c r="C10" s="240"/>
      <c r="D10" s="240"/>
      <c r="E10" s="115"/>
      <c r="F10" s="115"/>
      <c r="G10" s="115"/>
      <c r="H10" s="115"/>
      <c r="I10" s="115"/>
      <c r="J10" s="115"/>
      <c r="K10" s="115"/>
      <c r="L10" s="115"/>
    </row>
    <row r="11" spans="1:12" ht="15" customHeight="1">
      <c r="A11" s="121" t="s">
        <v>12</v>
      </c>
      <c r="B11" s="122">
        <v>46216</v>
      </c>
      <c r="C11" s="240" t="s">
        <v>3</v>
      </c>
      <c r="D11" s="240"/>
      <c r="E11" s="115"/>
      <c r="F11" s="115"/>
      <c r="G11" s="115"/>
      <c r="H11" s="115"/>
      <c r="I11" s="115"/>
      <c r="J11" s="115"/>
      <c r="K11" s="115"/>
      <c r="L11" s="115"/>
    </row>
    <row r="12" spans="1:12" ht="15" customHeight="1">
      <c r="A12" s="123" t="s">
        <v>13</v>
      </c>
      <c r="B12" s="124">
        <v>46229</v>
      </c>
      <c r="C12" s="240" t="s">
        <v>3</v>
      </c>
      <c r="D12" s="240"/>
      <c r="E12" s="115"/>
      <c r="F12" s="115"/>
      <c r="G12" s="115"/>
      <c r="H12" s="115"/>
      <c r="I12" s="115"/>
      <c r="J12" s="115"/>
      <c r="K12" s="115"/>
      <c r="L12" s="115"/>
    </row>
    <row r="13" spans="1:12" ht="15" customHeight="1">
      <c r="A13" s="115"/>
      <c r="B13" s="115"/>
      <c r="C13" s="240"/>
      <c r="D13" s="240"/>
      <c r="E13" s="115"/>
      <c r="F13" s="115"/>
      <c r="G13" s="115"/>
      <c r="H13" s="115"/>
      <c r="I13" s="115"/>
      <c r="J13" s="115"/>
      <c r="K13" s="115"/>
      <c r="L13" s="115"/>
    </row>
    <row r="14" spans="1:12" ht="15" customHeight="1">
      <c r="A14" s="241" t="s">
        <v>14</v>
      </c>
      <c r="B14" s="241"/>
      <c r="C14" s="240"/>
      <c r="D14" s="240"/>
      <c r="E14" s="115"/>
      <c r="F14" s="115"/>
      <c r="G14" s="115"/>
      <c r="H14" s="115"/>
      <c r="I14" s="115"/>
      <c r="J14" s="115"/>
      <c r="K14" s="115"/>
      <c r="L14" s="115"/>
    </row>
    <row r="15" spans="1:12" ht="15" customHeight="1">
      <c r="A15" s="116" t="s">
        <v>15</v>
      </c>
      <c r="B15" s="124">
        <v>926</v>
      </c>
      <c r="C15" s="240" t="s">
        <v>3</v>
      </c>
      <c r="D15" s="240"/>
      <c r="E15" s="115"/>
      <c r="F15" s="115"/>
      <c r="G15" s="115"/>
      <c r="H15" s="115"/>
      <c r="I15" s="115"/>
      <c r="J15" s="115"/>
      <c r="K15" s="115"/>
      <c r="L15" s="115"/>
    </row>
    <row r="16" spans="1:12" ht="15" customHeight="1">
      <c r="A16" s="119" t="s">
        <v>16</v>
      </c>
      <c r="B16" s="124">
        <v>926</v>
      </c>
      <c r="C16" s="240" t="s">
        <v>3</v>
      </c>
      <c r="D16" s="240"/>
      <c r="E16" s="115"/>
      <c r="F16" s="115"/>
      <c r="G16" s="115"/>
      <c r="H16" s="115"/>
      <c r="I16" s="115"/>
      <c r="J16" s="115"/>
      <c r="K16" s="115"/>
      <c r="L16" s="115"/>
    </row>
    <row r="17" spans="1:12" ht="15" customHeight="1">
      <c r="A17" s="115"/>
      <c r="B17" s="115"/>
      <c r="C17" s="240"/>
      <c r="D17" s="240"/>
      <c r="E17" s="115"/>
      <c r="F17" s="115"/>
      <c r="G17" s="115"/>
      <c r="H17" s="115"/>
      <c r="I17" s="115"/>
      <c r="J17" s="115"/>
      <c r="K17" s="115"/>
      <c r="L17" s="115"/>
    </row>
    <row r="18" spans="1:12" ht="15" customHeight="1">
      <c r="A18" s="115"/>
      <c r="B18" s="115"/>
      <c r="C18" s="242" t="s">
        <v>3</v>
      </c>
      <c r="D18" s="242"/>
      <c r="E18" s="115"/>
      <c r="F18" s="115"/>
      <c r="G18" s="115"/>
      <c r="H18" s="115"/>
      <c r="I18" s="115"/>
      <c r="J18" s="115"/>
      <c r="K18" s="115"/>
      <c r="L18" s="115"/>
    </row>
    <row r="19" spans="1:12" ht="15" customHeight="1">
      <c r="A19" s="125" t="s">
        <v>17</v>
      </c>
      <c r="B19" s="126" t="s">
        <v>18</v>
      </c>
      <c r="C19" s="127" t="s">
        <v>19</v>
      </c>
      <c r="D19" s="127" t="s">
        <v>20</v>
      </c>
      <c r="E19" s="128" t="s">
        <v>21</v>
      </c>
      <c r="F19" s="128" t="s">
        <v>22</v>
      </c>
      <c r="G19" s="243" t="s">
        <v>23</v>
      </c>
      <c r="H19" s="244"/>
      <c r="I19" s="129" t="s">
        <v>24</v>
      </c>
      <c r="J19" s="128" t="s">
        <v>25</v>
      </c>
      <c r="K19" s="128" t="s">
        <v>26</v>
      </c>
      <c r="L19" s="130"/>
    </row>
    <row r="20" spans="1:12" ht="15" customHeight="1">
      <c r="A20" s="115"/>
      <c r="B20" s="131" t="s">
        <v>3</v>
      </c>
      <c r="C20" s="245" t="s">
        <v>3</v>
      </c>
      <c r="D20" s="245"/>
      <c r="E20" s="115"/>
      <c r="F20" s="115"/>
      <c r="G20" s="132" t="s">
        <v>27</v>
      </c>
      <c r="H20" s="133" t="s">
        <v>28</v>
      </c>
      <c r="I20" s="134" t="s">
        <v>3</v>
      </c>
      <c r="J20" s="115"/>
      <c r="K20" s="117" t="s">
        <v>3</v>
      </c>
      <c r="L20" s="115"/>
    </row>
    <row r="21" spans="1:12" ht="15.75">
      <c r="A21" s="135" t="s">
        <v>3</v>
      </c>
      <c r="B21" s="136" t="s">
        <v>29</v>
      </c>
      <c r="C21" s="137" t="s">
        <v>3</v>
      </c>
      <c r="D21" s="138">
        <v>8</v>
      </c>
      <c r="E21" s="139" t="s">
        <v>30</v>
      </c>
      <c r="F21" s="140" t="s">
        <v>31</v>
      </c>
      <c r="G21" s="141">
        <v>0.98</v>
      </c>
      <c r="H21" s="142">
        <v>0.92</v>
      </c>
      <c r="I21" s="185">
        <f>H21*G21*D21</f>
        <v>7.2128000000000005</v>
      </c>
      <c r="J21" s="148"/>
      <c r="K21" s="143"/>
      <c r="L21" s="115"/>
    </row>
    <row r="22" spans="1:12" ht="15.75">
      <c r="A22" s="144" t="s">
        <v>3</v>
      </c>
      <c r="B22" s="138" t="s">
        <v>32</v>
      </c>
      <c r="C22" s="137" t="s">
        <v>3</v>
      </c>
      <c r="D22" s="138">
        <v>5</v>
      </c>
      <c r="E22" s="145" t="s">
        <v>30</v>
      </c>
      <c r="F22" s="146" t="s">
        <v>31</v>
      </c>
      <c r="G22" s="141">
        <v>0.98</v>
      </c>
      <c r="H22" s="142">
        <v>0.92</v>
      </c>
      <c r="I22" s="185">
        <f t="shared" ref="I22:I23" si="0">H22*G22*D22</f>
        <v>4.508</v>
      </c>
      <c r="J22" s="148"/>
      <c r="K22" s="133"/>
      <c r="L22" s="115"/>
    </row>
    <row r="23" spans="1:12" ht="15.75">
      <c r="A23" s="119" t="s">
        <v>3</v>
      </c>
      <c r="B23" s="138" t="s">
        <v>33</v>
      </c>
      <c r="C23" s="137" t="s">
        <v>3</v>
      </c>
      <c r="D23" s="138">
        <v>4</v>
      </c>
      <c r="E23" s="145" t="s">
        <v>30</v>
      </c>
      <c r="F23" s="146" t="s">
        <v>31</v>
      </c>
      <c r="G23" s="141">
        <v>0.98</v>
      </c>
      <c r="H23" s="142">
        <v>0.92</v>
      </c>
      <c r="I23" s="185">
        <f t="shared" ref="I23" si="1">H23*G23*D23</f>
        <v>3.6064000000000003</v>
      </c>
      <c r="J23" s="148"/>
      <c r="K23" s="133" t="s">
        <v>3</v>
      </c>
      <c r="L23" s="115"/>
    </row>
    <row r="24" spans="1:12" ht="15.75">
      <c r="A24" s="135" t="s">
        <v>3</v>
      </c>
      <c r="B24" s="138" t="s">
        <v>32</v>
      </c>
      <c r="C24" s="137" t="s">
        <v>3</v>
      </c>
      <c r="D24" s="138">
        <v>5</v>
      </c>
      <c r="E24" s="139" t="s">
        <v>30</v>
      </c>
      <c r="F24" s="140" t="s">
        <v>31</v>
      </c>
      <c r="G24" s="141">
        <v>0.48</v>
      </c>
      <c r="H24" s="142">
        <v>0.92</v>
      </c>
      <c r="I24" s="185">
        <f>H24*G24*D24</f>
        <v>2.2080000000000002</v>
      </c>
      <c r="J24" s="148" t="s">
        <v>34</v>
      </c>
      <c r="K24" s="143"/>
      <c r="L24" s="115"/>
    </row>
    <row r="25" spans="1:12" ht="15.75">
      <c r="A25" s="119"/>
      <c r="B25" s="147"/>
      <c r="C25" s="137"/>
      <c r="D25" s="138"/>
      <c r="E25" s="138"/>
      <c r="F25" s="138"/>
      <c r="G25" s="142"/>
      <c r="H25" s="142"/>
      <c r="I25" s="185"/>
      <c r="J25" s="148"/>
      <c r="K25" s="133"/>
      <c r="L25" s="115"/>
    </row>
    <row r="26" spans="1:12" ht="15.75">
      <c r="A26" s="119"/>
      <c r="B26" s="147"/>
      <c r="C26" s="137"/>
      <c r="D26" s="138"/>
      <c r="E26" s="138"/>
      <c r="F26" s="138"/>
      <c r="G26" s="142"/>
      <c r="H26" s="142"/>
      <c r="I26" s="185"/>
      <c r="J26" s="148"/>
      <c r="K26" s="133"/>
      <c r="L26" s="115"/>
    </row>
  </sheetData>
  <mergeCells count="24">
    <mergeCell ref="G19:H19"/>
    <mergeCell ref="C20:D20"/>
    <mergeCell ref="C10:D10"/>
    <mergeCell ref="C11:D11"/>
    <mergeCell ref="C12:D12"/>
    <mergeCell ref="C13:D13"/>
    <mergeCell ref="C15:D15"/>
    <mergeCell ref="C16:D16"/>
    <mergeCell ref="C17:D17"/>
    <mergeCell ref="C18:D18"/>
    <mergeCell ref="A14:B14"/>
    <mergeCell ref="C14:D14"/>
    <mergeCell ref="C5:D5"/>
    <mergeCell ref="C6:D6"/>
    <mergeCell ref="A7:B7"/>
    <mergeCell ref="C7:D7"/>
    <mergeCell ref="C8:D8"/>
    <mergeCell ref="C9:D9"/>
    <mergeCell ref="C4:D4"/>
    <mergeCell ref="A1:B1"/>
    <mergeCell ref="C1:D1"/>
    <mergeCell ref="A2:B2"/>
    <mergeCell ref="C2:D2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9D9D-7445-4B49-B72B-384045048283}">
  <dimension ref="A1:AMK94"/>
  <sheetViews>
    <sheetView showGridLines="0" tabSelected="1" zoomScale="115" zoomScaleNormal="90" workbookViewId="0">
      <selection activeCell="P60" sqref="P60"/>
    </sheetView>
  </sheetViews>
  <sheetFormatPr defaultColWidth="8.85546875" defaultRowHeight="15"/>
  <cols>
    <col min="1" max="1" width="9.5703125" style="49" customWidth="1"/>
    <col min="2" max="2" width="14.42578125" style="50" customWidth="1"/>
    <col min="3" max="3" width="26.140625" customWidth="1"/>
    <col min="4" max="4" width="7.85546875" customWidth="1"/>
    <col min="5" max="5" width="5.28515625" style="2" customWidth="1"/>
    <col min="6" max="8" width="6.28515625" style="2" customWidth="1"/>
    <col min="9" max="9" width="8.85546875" style="2" customWidth="1"/>
    <col min="10" max="10" width="8.28515625" style="2" customWidth="1"/>
    <col min="11" max="11" width="6.85546875" style="22" customWidth="1"/>
    <col min="12" max="12" width="7.28515625" style="22" customWidth="1"/>
    <col min="13" max="13" width="7.42578125" style="22" customWidth="1"/>
    <col min="14" max="14" width="13.5703125" style="22" customWidth="1"/>
    <col min="15" max="15" width="13.28515625" style="22" customWidth="1"/>
    <col min="16" max="16" width="11.5703125" style="22" bestFit="1" customWidth="1"/>
    <col min="17" max="17" width="14.85546875" style="22" customWidth="1"/>
    <col min="18" max="18" width="15.140625" style="53" customWidth="1"/>
    <col min="19" max="19" width="15.140625" customWidth="1"/>
    <col min="20" max="20" width="11.42578125" customWidth="1"/>
    <col min="21" max="21" width="19.140625" bestFit="1" customWidth="1"/>
    <col min="22" max="22" width="16.42578125" bestFit="1" customWidth="1"/>
    <col min="23" max="23" width="15.85546875" bestFit="1" customWidth="1"/>
    <col min="24" max="24" width="12.42578125" bestFit="1" customWidth="1"/>
  </cols>
  <sheetData>
    <row r="1" spans="1:23" ht="32.25" customHeight="1">
      <c r="A1" s="216" t="s">
        <v>35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23" s="43" customFormat="1" ht="7.5" customHeight="1">
      <c r="A2" s="46"/>
      <c r="B2" s="47"/>
      <c r="C2"/>
      <c r="D2"/>
      <c r="E2" s="2"/>
      <c r="F2" s="2"/>
      <c r="G2" s="2"/>
      <c r="H2" s="2"/>
      <c r="I2" s="2"/>
      <c r="J2" s="2"/>
      <c r="K2" s="22"/>
      <c r="L2" s="22"/>
      <c r="M2" s="22"/>
      <c r="N2" s="22"/>
      <c r="O2" s="22"/>
      <c r="P2" s="22"/>
      <c r="Q2" s="22"/>
      <c r="R2" s="53"/>
      <c r="S2"/>
      <c r="T2"/>
      <c r="U2"/>
      <c r="V2"/>
      <c r="W2"/>
    </row>
    <row r="3" spans="1:23" s="44" customFormat="1" ht="15.75" customHeight="1">
      <c r="A3" s="48" t="s">
        <v>36</v>
      </c>
      <c r="B3" s="75"/>
      <c r="C3" s="93" t="s">
        <v>18</v>
      </c>
      <c r="D3" s="93" t="s">
        <v>37</v>
      </c>
      <c r="E3" s="94" t="s">
        <v>20</v>
      </c>
      <c r="F3" s="94"/>
      <c r="G3" s="94" t="s">
        <v>38</v>
      </c>
      <c r="H3" s="94" t="s">
        <v>39</v>
      </c>
      <c r="I3" s="94" t="s">
        <v>21</v>
      </c>
      <c r="J3" s="94" t="s">
        <v>22</v>
      </c>
      <c r="K3" s="207" t="s">
        <v>23</v>
      </c>
      <c r="L3" s="207"/>
      <c r="M3" s="95" t="s">
        <v>24</v>
      </c>
      <c r="N3" s="57" t="s">
        <v>40</v>
      </c>
      <c r="O3" s="57" t="s">
        <v>41</v>
      </c>
      <c r="P3" s="57" t="s">
        <v>42</v>
      </c>
      <c r="Q3" s="57" t="s">
        <v>43</v>
      </c>
      <c r="R3" s="51"/>
      <c r="S3" s="208" t="s">
        <v>44</v>
      </c>
      <c r="T3" s="208"/>
      <c r="U3" s="208"/>
      <c r="V3" s="208"/>
      <c r="W3" s="43"/>
    </row>
    <row r="4" spans="1:23" s="44" customFormat="1" ht="15.75" customHeight="1">
      <c r="A4" s="74" t="s">
        <v>45</v>
      </c>
      <c r="B4" s="211" t="s">
        <v>46</v>
      </c>
      <c r="C4" s="200" t="s">
        <v>47</v>
      </c>
      <c r="D4" s="79" t="s">
        <v>48</v>
      </c>
      <c r="E4" s="151">
        <v>24</v>
      </c>
      <c r="F4" s="204" t="b">
        <v>0</v>
      </c>
      <c r="G4" s="162">
        <v>1.96</v>
      </c>
      <c r="H4" s="91">
        <v>0.96</v>
      </c>
      <c r="I4" s="89" t="s">
        <v>49</v>
      </c>
      <c r="J4" s="89" t="s">
        <v>50</v>
      </c>
      <c r="K4" s="80">
        <v>1.96</v>
      </c>
      <c r="L4" s="80">
        <v>0.96</v>
      </c>
      <c r="M4" s="80">
        <f>L4*K4*E4</f>
        <v>45.1584</v>
      </c>
      <c r="N4" s="92" t="str">
        <f>A4&amp;D4</f>
        <v>ECO RJ2x1_1</v>
      </c>
      <c r="O4" s="99"/>
      <c r="P4" s="97" t="s">
        <v>51</v>
      </c>
      <c r="Q4" s="191" t="s">
        <v>52</v>
      </c>
      <c r="R4" s="52"/>
      <c r="S4" s="54" t="s">
        <v>53</v>
      </c>
      <c r="T4" s="55">
        <f>SUMIF(I4:I349,"lona",M4:M349)</f>
        <v>0</v>
      </c>
      <c r="U4" s="56">
        <v>32</v>
      </c>
      <c r="V4" s="56">
        <f>U4*T4</f>
        <v>0</v>
      </c>
    </row>
    <row r="5" spans="1:23" s="44" customFormat="1" ht="15.75" customHeight="1">
      <c r="A5" s="74" t="s">
        <v>45</v>
      </c>
      <c r="B5" s="212"/>
      <c r="C5" s="201" t="s">
        <v>54</v>
      </c>
      <c r="D5" s="79" t="s">
        <v>55</v>
      </c>
      <c r="E5" s="152">
        <v>24</v>
      </c>
      <c r="F5" s="204" t="b">
        <v>0</v>
      </c>
      <c r="G5" s="163">
        <v>1.96</v>
      </c>
      <c r="H5" s="102">
        <v>0.96</v>
      </c>
      <c r="I5" s="103" t="s">
        <v>49</v>
      </c>
      <c r="J5" s="103" t="s">
        <v>50</v>
      </c>
      <c r="K5" s="104">
        <v>1.96</v>
      </c>
      <c r="L5" s="104">
        <v>0.96</v>
      </c>
      <c r="M5" s="104">
        <f>L5*K5*E5</f>
        <v>45.1584</v>
      </c>
      <c r="N5" s="92" t="str">
        <f t="shared" ref="N5:N73" si="0">A5&amp;D5</f>
        <v>ECO RJ2x1_2</v>
      </c>
      <c r="O5" s="99" t="s">
        <v>56</v>
      </c>
      <c r="P5" s="97" t="s">
        <v>57</v>
      </c>
      <c r="Q5" s="191"/>
      <c r="R5" s="52"/>
      <c r="S5" s="54" t="s">
        <v>58</v>
      </c>
      <c r="T5" s="55">
        <f>SUMIF(I4:I350,"sanett",M4:M350)</f>
        <v>0</v>
      </c>
      <c r="U5" s="56">
        <v>42</v>
      </c>
      <c r="V5" s="56">
        <f>U5*T5</f>
        <v>0</v>
      </c>
    </row>
    <row r="6" spans="1:23" s="44" customFormat="1" ht="15.75" customHeight="1">
      <c r="A6" s="74" t="s">
        <v>45</v>
      </c>
      <c r="B6" s="212"/>
      <c r="C6" s="202" t="s">
        <v>59</v>
      </c>
      <c r="D6" s="79" t="s">
        <v>60</v>
      </c>
      <c r="E6" s="153">
        <v>2</v>
      </c>
      <c r="F6" s="204" t="b">
        <v>0</v>
      </c>
      <c r="G6" s="162">
        <v>1.96</v>
      </c>
      <c r="H6" s="91">
        <v>0.96</v>
      </c>
      <c r="I6" s="89" t="s">
        <v>49</v>
      </c>
      <c r="J6" s="89" t="s">
        <v>50</v>
      </c>
      <c r="K6" s="80">
        <v>1.96</v>
      </c>
      <c r="L6" s="80">
        <v>0.96</v>
      </c>
      <c r="M6" s="80">
        <f>L6*K6*E6</f>
        <v>3.7631999999999999</v>
      </c>
      <c r="N6" s="92" t="str">
        <f t="shared" si="0"/>
        <v>ECO RJ2x1_3</v>
      </c>
      <c r="O6" s="99" t="s">
        <v>56</v>
      </c>
      <c r="P6" s="97" t="s">
        <v>61</v>
      </c>
      <c r="Q6" s="191"/>
      <c r="R6" s="53"/>
      <c r="T6" s="76"/>
      <c r="U6" s="77"/>
      <c r="V6" s="77"/>
    </row>
    <row r="7" spans="1:23" s="44" customFormat="1" ht="15.75" customHeight="1">
      <c r="A7" s="74" t="s">
        <v>45</v>
      </c>
      <c r="B7" s="212"/>
      <c r="C7" s="203" t="s">
        <v>62</v>
      </c>
      <c r="D7" s="79" t="s">
        <v>63</v>
      </c>
      <c r="E7" s="154">
        <v>24</v>
      </c>
      <c r="F7" s="204" t="b">
        <v>0</v>
      </c>
      <c r="G7" s="162">
        <v>1.96</v>
      </c>
      <c r="H7" s="91">
        <v>0.96</v>
      </c>
      <c r="I7" s="89" t="s">
        <v>49</v>
      </c>
      <c r="J7" s="89" t="s">
        <v>50</v>
      </c>
      <c r="K7" s="80">
        <v>1.96</v>
      </c>
      <c r="L7" s="80">
        <v>0.96</v>
      </c>
      <c r="M7" s="80">
        <f t="shared" ref="M7:M10" si="1">L7*K7*E7</f>
        <v>45.1584</v>
      </c>
      <c r="N7" s="92" t="str">
        <f t="shared" si="0"/>
        <v>ECO RJ2x1_4</v>
      </c>
      <c r="O7" s="99" t="s">
        <v>56</v>
      </c>
      <c r="P7" s="97"/>
      <c r="Q7" s="191"/>
      <c r="R7" s="53"/>
      <c r="T7" s="76"/>
      <c r="U7" s="77"/>
      <c r="V7" s="77"/>
    </row>
    <row r="8" spans="1:23" s="44" customFormat="1" ht="15.75" customHeight="1">
      <c r="A8" s="74" t="s">
        <v>45</v>
      </c>
      <c r="B8" s="212"/>
      <c r="C8" s="203" t="s">
        <v>64</v>
      </c>
      <c r="D8" s="79" t="s">
        <v>65</v>
      </c>
      <c r="E8" s="154">
        <v>2</v>
      </c>
      <c r="F8" s="204" t="b">
        <v>0</v>
      </c>
      <c r="G8" s="162">
        <v>1.96</v>
      </c>
      <c r="H8" s="91">
        <v>0.96</v>
      </c>
      <c r="I8" s="89" t="s">
        <v>49</v>
      </c>
      <c r="J8" s="89" t="s">
        <v>50</v>
      </c>
      <c r="K8" s="80">
        <v>1.96</v>
      </c>
      <c r="L8" s="80">
        <v>0.96</v>
      </c>
      <c r="M8" s="80">
        <f t="shared" si="1"/>
        <v>3.7631999999999999</v>
      </c>
      <c r="N8" s="92" t="str">
        <f t="shared" si="0"/>
        <v>ECO RJ2x1_5</v>
      </c>
      <c r="O8" s="99" t="s">
        <v>56</v>
      </c>
      <c r="P8" s="199"/>
      <c r="Q8" s="191"/>
      <c r="R8" s="53"/>
      <c r="T8" s="76"/>
      <c r="U8" s="77"/>
      <c r="V8" s="77"/>
    </row>
    <row r="9" spans="1:23" s="44" customFormat="1" ht="15.75" customHeight="1">
      <c r="A9" s="74" t="s">
        <v>45</v>
      </c>
      <c r="B9" s="212"/>
      <c r="C9" s="203" t="s">
        <v>66</v>
      </c>
      <c r="D9" s="79" t="s">
        <v>67</v>
      </c>
      <c r="E9" s="154">
        <v>2</v>
      </c>
      <c r="F9" s="204" t="b">
        <v>0</v>
      </c>
      <c r="G9" s="162">
        <v>1.96</v>
      </c>
      <c r="H9" s="91">
        <v>0.96</v>
      </c>
      <c r="I9" s="89" t="s">
        <v>49</v>
      </c>
      <c r="J9" s="89" t="s">
        <v>50</v>
      </c>
      <c r="K9" s="80">
        <v>1.96</v>
      </c>
      <c r="L9" s="80">
        <v>0.96</v>
      </c>
      <c r="M9" s="80">
        <f t="shared" si="1"/>
        <v>3.7631999999999999</v>
      </c>
      <c r="N9" s="92" t="str">
        <f t="shared" si="0"/>
        <v>ECO RJ2x1_6</v>
      </c>
      <c r="O9" s="99" t="s">
        <v>56</v>
      </c>
      <c r="P9" s="197" t="s">
        <v>61</v>
      </c>
      <c r="Q9" s="80">
        <v>1</v>
      </c>
      <c r="R9" s="53"/>
      <c r="T9" s="76"/>
      <c r="U9" s="77"/>
      <c r="V9" s="77"/>
    </row>
    <row r="10" spans="1:23" s="44" customFormat="1" ht="15.75" customHeight="1">
      <c r="A10" s="74" t="s">
        <v>45</v>
      </c>
      <c r="B10" s="212"/>
      <c r="C10" s="203" t="s">
        <v>68</v>
      </c>
      <c r="D10" s="79" t="s">
        <v>69</v>
      </c>
      <c r="E10" s="154">
        <v>2</v>
      </c>
      <c r="F10" s="204" t="b">
        <v>0</v>
      </c>
      <c r="G10" s="162">
        <v>1.96</v>
      </c>
      <c r="H10" s="91">
        <v>0.96</v>
      </c>
      <c r="I10" s="89" t="s">
        <v>49</v>
      </c>
      <c r="J10" s="89" t="s">
        <v>50</v>
      </c>
      <c r="K10" s="80">
        <v>1.96</v>
      </c>
      <c r="L10" s="80">
        <v>0.96</v>
      </c>
      <c r="M10" s="80">
        <f t="shared" si="1"/>
        <v>3.7631999999999999</v>
      </c>
      <c r="N10" s="92" t="str">
        <f t="shared" si="0"/>
        <v>ECO RJ2x1_7</v>
      </c>
      <c r="O10" s="114"/>
      <c r="P10" s="194" t="s">
        <v>51</v>
      </c>
      <c r="Q10" s="80" t="s">
        <v>52</v>
      </c>
      <c r="R10" s="53"/>
      <c r="T10" s="76"/>
      <c r="U10" s="77"/>
      <c r="V10" s="77"/>
    </row>
    <row r="11" spans="1:23" s="44" customFormat="1" ht="15.75" customHeight="1">
      <c r="A11" s="74" t="s">
        <v>45</v>
      </c>
      <c r="B11" s="212"/>
      <c r="C11" s="203" t="s">
        <v>70</v>
      </c>
      <c r="D11" s="79" t="s">
        <v>71</v>
      </c>
      <c r="E11" s="154">
        <v>8</v>
      </c>
      <c r="F11" s="204" t="b">
        <v>0</v>
      </c>
      <c r="G11" s="162">
        <v>1.96</v>
      </c>
      <c r="H11" s="91">
        <v>0.96</v>
      </c>
      <c r="I11" s="89" t="s">
        <v>49</v>
      </c>
      <c r="J11" s="89" t="s">
        <v>50</v>
      </c>
      <c r="K11" s="80">
        <v>1.96</v>
      </c>
      <c r="L11" s="80">
        <v>0.96</v>
      </c>
      <c r="M11" s="80">
        <f t="shared" ref="M11" si="2">L11*K11*E11</f>
        <v>15.0528</v>
      </c>
      <c r="N11" s="92" t="str">
        <f t="shared" ref="N11" si="3">A11&amp;D11</f>
        <v>ECO RJ2x1_8</v>
      </c>
      <c r="O11" s="198"/>
      <c r="P11" s="194" t="s">
        <v>51</v>
      </c>
      <c r="Q11" s="80" t="s">
        <v>52</v>
      </c>
      <c r="R11" s="53"/>
      <c r="T11" s="76"/>
      <c r="U11" s="77"/>
      <c r="V11" s="77"/>
    </row>
    <row r="12" spans="1:23" s="44" customFormat="1" ht="15.75" customHeight="1">
      <c r="A12" s="74" t="s">
        <v>45</v>
      </c>
      <c r="B12" s="212"/>
      <c r="C12" s="203" t="s">
        <v>72</v>
      </c>
      <c r="D12" s="79" t="s">
        <v>73</v>
      </c>
      <c r="E12" s="154">
        <v>8</v>
      </c>
      <c r="F12" s="204" t="b">
        <v>0</v>
      </c>
      <c r="G12" s="162">
        <v>1.96</v>
      </c>
      <c r="H12" s="91">
        <v>0.96</v>
      </c>
      <c r="I12" s="89" t="s">
        <v>49</v>
      </c>
      <c r="J12" s="89" t="s">
        <v>50</v>
      </c>
      <c r="K12" s="80">
        <v>1.96</v>
      </c>
      <c r="L12" s="80">
        <v>0.96</v>
      </c>
      <c r="M12" s="80">
        <f t="shared" ref="M12:M15" si="4">L12*K12*E12</f>
        <v>15.0528</v>
      </c>
      <c r="N12" s="92" t="str">
        <f t="shared" ref="N12:N15" si="5">A12&amp;D12</f>
        <v>ECO RJ2x1_9</v>
      </c>
      <c r="O12" s="99" t="s">
        <v>56</v>
      </c>
      <c r="P12" s="194" t="s">
        <v>61</v>
      </c>
      <c r="Q12" s="80"/>
      <c r="R12" s="53"/>
      <c r="T12" s="76"/>
      <c r="U12" s="77"/>
      <c r="V12" s="77"/>
    </row>
    <row r="13" spans="1:23" s="44" customFormat="1" ht="15.75" customHeight="1">
      <c r="A13" s="74" t="s">
        <v>45</v>
      </c>
      <c r="B13" s="212"/>
      <c r="C13" s="203" t="s">
        <v>74</v>
      </c>
      <c r="D13" s="79" t="s">
        <v>75</v>
      </c>
      <c r="E13" s="154">
        <v>8</v>
      </c>
      <c r="F13" s="204" t="b">
        <v>0</v>
      </c>
      <c r="G13" s="162">
        <v>1.96</v>
      </c>
      <c r="H13" s="91">
        <v>0.96</v>
      </c>
      <c r="I13" s="89" t="s">
        <v>49</v>
      </c>
      <c r="J13" s="89" t="s">
        <v>50</v>
      </c>
      <c r="K13" s="80">
        <v>1.96</v>
      </c>
      <c r="L13" s="80">
        <v>0.96</v>
      </c>
      <c r="M13" s="80">
        <f t="shared" si="4"/>
        <v>15.0528</v>
      </c>
      <c r="N13" s="92" t="str">
        <f t="shared" si="5"/>
        <v>ECO RJ2x1_10</v>
      </c>
      <c r="O13" s="99" t="s">
        <v>56</v>
      </c>
      <c r="P13" s="101" t="s">
        <v>57</v>
      </c>
      <c r="Q13" s="80"/>
      <c r="R13" s="53"/>
      <c r="T13" s="76"/>
      <c r="U13" s="77"/>
      <c r="V13" s="77"/>
    </row>
    <row r="14" spans="1:23" s="44" customFormat="1" ht="15.75" customHeight="1">
      <c r="A14" s="74" t="s">
        <v>45</v>
      </c>
      <c r="B14" s="212"/>
      <c r="C14" s="203" t="s">
        <v>76</v>
      </c>
      <c r="D14" s="79" t="s">
        <v>77</v>
      </c>
      <c r="E14" s="154">
        <v>2</v>
      </c>
      <c r="F14" s="204" t="b">
        <v>0</v>
      </c>
      <c r="G14" s="162">
        <v>1.96</v>
      </c>
      <c r="H14" s="91">
        <v>0.96</v>
      </c>
      <c r="I14" s="89" t="s">
        <v>49</v>
      </c>
      <c r="J14" s="89" t="s">
        <v>50</v>
      </c>
      <c r="K14" s="80">
        <v>1.96</v>
      </c>
      <c r="L14" s="80">
        <v>0.96</v>
      </c>
      <c r="M14" s="80">
        <f t="shared" si="4"/>
        <v>3.7631999999999999</v>
      </c>
      <c r="N14" s="92" t="str">
        <f t="shared" si="5"/>
        <v>ECO RJ2x1_11</v>
      </c>
      <c r="O14" s="99" t="s">
        <v>56</v>
      </c>
      <c r="P14" s="101" t="s">
        <v>57</v>
      </c>
      <c r="Q14" s="80"/>
      <c r="R14" s="53"/>
      <c r="T14" s="76"/>
      <c r="U14" s="77"/>
      <c r="V14" s="77"/>
    </row>
    <row r="15" spans="1:23" s="44" customFormat="1" ht="15.75" customHeight="1">
      <c r="A15" s="74" t="s">
        <v>45</v>
      </c>
      <c r="B15" s="212"/>
      <c r="C15" s="203" t="s">
        <v>78</v>
      </c>
      <c r="D15" s="79" t="s">
        <v>79</v>
      </c>
      <c r="E15" s="154">
        <v>2</v>
      </c>
      <c r="F15" s="204" t="b">
        <v>0</v>
      </c>
      <c r="G15" s="162">
        <v>1.96</v>
      </c>
      <c r="H15" s="91">
        <v>0.96</v>
      </c>
      <c r="I15" s="89" t="s">
        <v>49</v>
      </c>
      <c r="J15" s="89" t="s">
        <v>50</v>
      </c>
      <c r="K15" s="80">
        <v>1.96</v>
      </c>
      <c r="L15" s="80">
        <v>0.96</v>
      </c>
      <c r="M15" s="80">
        <f t="shared" si="4"/>
        <v>3.7631999999999999</v>
      </c>
      <c r="N15" s="92" t="str">
        <f t="shared" si="5"/>
        <v>ECO RJ2x1_12</v>
      </c>
      <c r="O15" s="99" t="s">
        <v>56</v>
      </c>
      <c r="P15" s="101"/>
      <c r="Q15" s="80"/>
      <c r="R15" s="53"/>
      <c r="T15" s="76"/>
      <c r="U15" s="77"/>
      <c r="V15" s="77"/>
    </row>
    <row r="16" spans="1:23" s="44" customFormat="1" ht="15.75" customHeight="1">
      <c r="A16" s="74" t="s">
        <v>45</v>
      </c>
      <c r="B16" s="212"/>
      <c r="C16" s="203" t="s">
        <v>80</v>
      </c>
      <c r="D16" s="79" t="s">
        <v>81</v>
      </c>
      <c r="E16" s="154">
        <v>2</v>
      </c>
      <c r="F16" s="204" t="b">
        <v>0</v>
      </c>
      <c r="G16" s="162">
        <v>1.96</v>
      </c>
      <c r="H16" s="91">
        <v>0.96</v>
      </c>
      <c r="I16" s="89" t="s">
        <v>49</v>
      </c>
      <c r="J16" s="89" t="s">
        <v>50</v>
      </c>
      <c r="K16" s="80">
        <v>1.96</v>
      </c>
      <c r="L16" s="80">
        <v>0.96</v>
      </c>
      <c r="M16" s="80">
        <f t="shared" ref="M16:M17" si="6">L16*K16*E16</f>
        <v>3.7631999999999999</v>
      </c>
      <c r="N16" s="92" t="str">
        <f t="shared" ref="N16:N17" si="7">A16&amp;D16</f>
        <v>ECO RJ2x1_13</v>
      </c>
      <c r="O16" s="99" t="s">
        <v>56</v>
      </c>
      <c r="P16" s="101"/>
      <c r="Q16" s="80"/>
      <c r="R16" s="53"/>
      <c r="T16" s="76"/>
      <c r="U16" s="77"/>
      <c r="V16" s="77"/>
    </row>
    <row r="17" spans="1:27" s="44" customFormat="1" ht="15.75" customHeight="1">
      <c r="A17" s="74" t="s">
        <v>45</v>
      </c>
      <c r="B17" s="213"/>
      <c r="C17" s="203" t="s">
        <v>82</v>
      </c>
      <c r="D17" s="79" t="s">
        <v>83</v>
      </c>
      <c r="E17" s="154">
        <v>2</v>
      </c>
      <c r="F17" s="204" t="b">
        <v>0</v>
      </c>
      <c r="G17" s="162">
        <v>1.96</v>
      </c>
      <c r="H17" s="91">
        <v>0.96</v>
      </c>
      <c r="I17" s="89" t="s">
        <v>49</v>
      </c>
      <c r="J17" s="89" t="s">
        <v>50</v>
      </c>
      <c r="K17" s="80">
        <v>1.96</v>
      </c>
      <c r="L17" s="80">
        <v>0.96</v>
      </c>
      <c r="M17" s="80">
        <f t="shared" si="6"/>
        <v>3.7631999999999999</v>
      </c>
      <c r="N17" s="92" t="str">
        <f t="shared" si="7"/>
        <v>ECO RJ2x1_14</v>
      </c>
      <c r="O17" s="99" t="s">
        <v>56</v>
      </c>
      <c r="P17" s="101" t="s">
        <v>57</v>
      </c>
      <c r="Q17" s="80"/>
      <c r="R17" s="53"/>
      <c r="T17" s="76"/>
      <c r="U17" s="77"/>
      <c r="V17" s="77"/>
    </row>
    <row r="18" spans="1:27" s="44" customFormat="1" ht="15.75" customHeight="1">
      <c r="A18" s="74" t="s">
        <v>45</v>
      </c>
      <c r="B18" s="214" t="s">
        <v>84</v>
      </c>
      <c r="C18" s="200" t="s">
        <v>85</v>
      </c>
      <c r="D18" s="96" t="s">
        <v>86</v>
      </c>
      <c r="E18" s="155">
        <v>3</v>
      </c>
      <c r="F18" s="204" t="b">
        <v>0</v>
      </c>
      <c r="G18" s="162">
        <v>6.06</v>
      </c>
      <c r="H18" s="91">
        <v>0.76</v>
      </c>
      <c r="I18" s="89" t="s">
        <v>49</v>
      </c>
      <c r="J18" s="89" t="s">
        <v>50</v>
      </c>
      <c r="K18" s="80">
        <v>6.06</v>
      </c>
      <c r="L18" s="80">
        <v>0.76</v>
      </c>
      <c r="M18" s="80">
        <f t="shared" ref="M18" si="8">L18*K18*E18</f>
        <v>13.816800000000001</v>
      </c>
      <c r="N18" s="92" t="str">
        <f t="shared" si="0"/>
        <v>ECO RJrolo_1</v>
      </c>
      <c r="O18" s="99"/>
      <c r="P18" s="194" t="s">
        <v>51</v>
      </c>
      <c r="Q18" s="80" t="s">
        <v>52</v>
      </c>
      <c r="R18" s="53"/>
      <c r="S18" s="71"/>
      <c r="T18" s="71"/>
      <c r="U18" s="72"/>
      <c r="V18" s="71"/>
      <c r="W18" s="206"/>
      <c r="X18" s="63"/>
      <c r="Y18" s="63"/>
      <c r="Z18" s="63"/>
      <c r="AA18" s="63"/>
    </row>
    <row r="19" spans="1:27" s="44" customFormat="1" ht="15.75" customHeight="1">
      <c r="A19" s="74" t="s">
        <v>45</v>
      </c>
      <c r="B19" s="214"/>
      <c r="C19" s="201" t="s">
        <v>87</v>
      </c>
      <c r="D19" s="96" t="s">
        <v>88</v>
      </c>
      <c r="E19" s="155">
        <v>1</v>
      </c>
      <c r="F19" s="204" t="b">
        <v>0</v>
      </c>
      <c r="G19" s="162">
        <v>6.06</v>
      </c>
      <c r="H19" s="91">
        <v>0.76</v>
      </c>
      <c r="I19" s="89" t="s">
        <v>49</v>
      </c>
      <c r="J19" s="89" t="s">
        <v>50</v>
      </c>
      <c r="K19" s="80">
        <v>6.06</v>
      </c>
      <c r="L19" s="80">
        <v>0.76</v>
      </c>
      <c r="M19" s="80">
        <f t="shared" ref="M19:M29" si="9">L19*K19*E19</f>
        <v>4.6055999999999999</v>
      </c>
      <c r="N19" s="92" t="str">
        <f t="shared" ref="N19:N29" si="10">A19&amp;D19</f>
        <v>ECO RJrolo_2</v>
      </c>
      <c r="O19" s="99" t="s">
        <v>56</v>
      </c>
      <c r="P19" s="97"/>
      <c r="Q19" s="191"/>
      <c r="R19" s="53"/>
      <c r="S19" s="71"/>
      <c r="T19" s="71"/>
      <c r="U19" s="72"/>
      <c r="V19" s="71"/>
      <c r="W19" s="206"/>
      <c r="X19" s="63"/>
      <c r="Y19" s="63"/>
      <c r="Z19" s="63"/>
      <c r="AA19" s="63"/>
    </row>
    <row r="20" spans="1:27" s="44" customFormat="1" ht="15.75" customHeight="1">
      <c r="A20" s="74" t="s">
        <v>45</v>
      </c>
      <c r="B20" s="214"/>
      <c r="C20" s="202" t="s">
        <v>89</v>
      </c>
      <c r="D20" s="96" t="s">
        <v>90</v>
      </c>
      <c r="E20" s="155">
        <v>1</v>
      </c>
      <c r="F20" s="204" t="b">
        <v>0</v>
      </c>
      <c r="G20" s="162">
        <v>6.06</v>
      </c>
      <c r="H20" s="91">
        <v>0.76</v>
      </c>
      <c r="I20" s="89" t="s">
        <v>49</v>
      </c>
      <c r="J20" s="89" t="s">
        <v>50</v>
      </c>
      <c r="K20" s="80">
        <v>6.06</v>
      </c>
      <c r="L20" s="80">
        <v>0.76</v>
      </c>
      <c r="M20" s="80">
        <f t="shared" si="9"/>
        <v>4.6055999999999999</v>
      </c>
      <c r="N20" s="92" t="str">
        <f t="shared" si="10"/>
        <v>ECO RJrolo_3</v>
      </c>
      <c r="O20" s="99" t="s">
        <v>56</v>
      </c>
      <c r="P20" s="97"/>
      <c r="Q20" s="191"/>
      <c r="R20" s="53"/>
      <c r="S20" s="71"/>
      <c r="T20" s="71"/>
      <c r="U20" s="72"/>
      <c r="V20" s="71"/>
      <c r="W20" s="206"/>
      <c r="X20" s="63"/>
      <c r="Y20" s="63"/>
      <c r="Z20" s="63"/>
      <c r="AA20" s="63"/>
    </row>
    <row r="21" spans="1:27" s="44" customFormat="1" ht="15.75" customHeight="1">
      <c r="A21" s="74" t="s">
        <v>45</v>
      </c>
      <c r="B21" s="214"/>
      <c r="C21" s="203" t="s">
        <v>91</v>
      </c>
      <c r="D21" s="96" t="s">
        <v>92</v>
      </c>
      <c r="E21" s="155">
        <v>2</v>
      </c>
      <c r="F21" s="204" t="b">
        <v>0</v>
      </c>
      <c r="G21" s="162">
        <v>6.06</v>
      </c>
      <c r="H21" s="91">
        <v>0.76</v>
      </c>
      <c r="I21" s="89" t="s">
        <v>49</v>
      </c>
      <c r="J21" s="89" t="s">
        <v>50</v>
      </c>
      <c r="K21" s="80">
        <v>6.06</v>
      </c>
      <c r="L21" s="80">
        <v>0.76</v>
      </c>
      <c r="M21" s="80">
        <f t="shared" si="9"/>
        <v>9.2111999999999998</v>
      </c>
      <c r="N21" s="92" t="str">
        <f t="shared" si="10"/>
        <v>ECO RJrolo_4</v>
      </c>
      <c r="O21" s="99" t="s">
        <v>56</v>
      </c>
      <c r="P21" s="97" t="s">
        <v>61</v>
      </c>
      <c r="Q21" s="191"/>
      <c r="R21" s="53"/>
      <c r="S21" s="71"/>
      <c r="T21" s="71"/>
      <c r="U21" s="72"/>
      <c r="V21" s="71"/>
      <c r="W21" s="206"/>
      <c r="X21" s="63"/>
      <c r="Y21" s="63"/>
      <c r="Z21" s="63"/>
      <c r="AA21" s="63"/>
    </row>
    <row r="22" spans="1:27" s="44" customFormat="1" ht="15.75" customHeight="1">
      <c r="A22" s="74" t="s">
        <v>45</v>
      </c>
      <c r="B22" s="214"/>
      <c r="C22" s="203" t="s">
        <v>93</v>
      </c>
      <c r="D22" s="96" t="s">
        <v>94</v>
      </c>
      <c r="E22" s="155">
        <v>1</v>
      </c>
      <c r="F22" s="204" t="b">
        <v>0</v>
      </c>
      <c r="G22" s="162">
        <v>6.06</v>
      </c>
      <c r="H22" s="91">
        <v>0.76</v>
      </c>
      <c r="I22" s="89" t="s">
        <v>49</v>
      </c>
      <c r="J22" s="89" t="s">
        <v>50</v>
      </c>
      <c r="K22" s="80">
        <v>6.06</v>
      </c>
      <c r="L22" s="80">
        <v>0.76</v>
      </c>
      <c r="M22" s="80">
        <f t="shared" si="9"/>
        <v>4.6055999999999999</v>
      </c>
      <c r="N22" s="92" t="str">
        <f t="shared" si="10"/>
        <v>ECO RJrolo_5</v>
      </c>
      <c r="O22" s="99" t="s">
        <v>56</v>
      </c>
      <c r="P22" s="97"/>
      <c r="Q22" s="191"/>
      <c r="R22" s="53"/>
      <c r="S22" s="71"/>
      <c r="T22" s="71"/>
      <c r="U22" s="72"/>
      <c r="V22" s="71"/>
      <c r="W22" s="206"/>
      <c r="X22" s="63"/>
      <c r="Y22" s="63"/>
      <c r="Z22" s="63"/>
      <c r="AA22" s="63"/>
    </row>
    <row r="23" spans="1:27" s="44" customFormat="1" ht="15.75" customHeight="1">
      <c r="A23" s="74" t="s">
        <v>45</v>
      </c>
      <c r="B23" s="214"/>
      <c r="C23" s="203" t="s">
        <v>95</v>
      </c>
      <c r="D23" s="96" t="s">
        <v>96</v>
      </c>
      <c r="E23" s="155">
        <v>1</v>
      </c>
      <c r="F23" s="204" t="b">
        <v>0</v>
      </c>
      <c r="G23" s="162">
        <v>6.06</v>
      </c>
      <c r="H23" s="91">
        <v>0.76</v>
      </c>
      <c r="I23" s="89" t="s">
        <v>49</v>
      </c>
      <c r="J23" s="89" t="s">
        <v>50</v>
      </c>
      <c r="K23" s="80">
        <v>6.06</v>
      </c>
      <c r="L23" s="80">
        <v>0.76</v>
      </c>
      <c r="M23" s="80">
        <f t="shared" si="9"/>
        <v>4.6055999999999999</v>
      </c>
      <c r="N23" s="92" t="str">
        <f t="shared" si="10"/>
        <v>ECO RJrolo_6</v>
      </c>
      <c r="O23" s="99" t="s">
        <v>56</v>
      </c>
      <c r="P23" s="183"/>
      <c r="Q23" s="61"/>
      <c r="R23" s="53"/>
      <c r="S23" s="71"/>
      <c r="T23" s="71"/>
      <c r="U23" s="72"/>
      <c r="V23" s="71"/>
      <c r="W23" s="206"/>
      <c r="X23" s="63"/>
      <c r="Y23" s="63"/>
      <c r="Z23" s="63"/>
      <c r="AA23" s="63"/>
    </row>
    <row r="24" spans="1:27" s="44" customFormat="1" ht="15.75" customHeight="1">
      <c r="A24" s="74" t="s">
        <v>45</v>
      </c>
      <c r="B24" s="214"/>
      <c r="C24" s="203" t="s">
        <v>97</v>
      </c>
      <c r="D24" s="96" t="s">
        <v>98</v>
      </c>
      <c r="E24" s="155">
        <v>1</v>
      </c>
      <c r="F24" s="204" t="b">
        <v>0</v>
      </c>
      <c r="G24" s="162">
        <v>6.06</v>
      </c>
      <c r="H24" s="91">
        <v>0.76</v>
      </c>
      <c r="I24" s="89" t="s">
        <v>49</v>
      </c>
      <c r="J24" s="89" t="s">
        <v>50</v>
      </c>
      <c r="K24" s="80">
        <v>6.06</v>
      </c>
      <c r="L24" s="80">
        <v>0.76</v>
      </c>
      <c r="M24" s="80">
        <f t="shared" si="9"/>
        <v>4.6055999999999999</v>
      </c>
      <c r="N24" s="92" t="str">
        <f t="shared" si="10"/>
        <v>ECO RJrolo_7</v>
      </c>
      <c r="O24" s="106"/>
      <c r="P24" s="194" t="s">
        <v>51</v>
      </c>
      <c r="Q24" s="80" t="s">
        <v>52</v>
      </c>
      <c r="R24" s="53"/>
      <c r="S24" s="71"/>
      <c r="T24" s="71"/>
      <c r="U24" s="72"/>
      <c r="V24" s="71"/>
      <c r="W24" s="206"/>
      <c r="X24" s="63"/>
      <c r="Y24" s="63"/>
      <c r="Z24" s="63"/>
      <c r="AA24" s="63"/>
    </row>
    <row r="25" spans="1:27" s="44" customFormat="1" ht="15.75" customHeight="1">
      <c r="A25" s="74" t="s">
        <v>45</v>
      </c>
      <c r="B25" s="214"/>
      <c r="C25" s="203" t="s">
        <v>99</v>
      </c>
      <c r="D25" s="96" t="s">
        <v>100</v>
      </c>
      <c r="E25" s="155">
        <v>1</v>
      </c>
      <c r="F25" s="204" t="b">
        <v>0</v>
      </c>
      <c r="G25" s="162">
        <v>6.06</v>
      </c>
      <c r="H25" s="91">
        <v>0.76</v>
      </c>
      <c r="I25" s="89" t="s">
        <v>49</v>
      </c>
      <c r="J25" s="89" t="s">
        <v>50</v>
      </c>
      <c r="K25" s="80">
        <v>6.06</v>
      </c>
      <c r="L25" s="80">
        <v>0.76</v>
      </c>
      <c r="M25" s="80">
        <f t="shared" ref="M25" si="11">L25*K25*E25</f>
        <v>4.6055999999999999</v>
      </c>
      <c r="N25" s="92" t="str">
        <f t="shared" ref="N25" si="12">A25&amp;D25</f>
        <v>ECO RJrolo_8</v>
      </c>
      <c r="O25" s="106"/>
      <c r="P25" s="194" t="s">
        <v>51</v>
      </c>
      <c r="Q25" s="80" t="s">
        <v>52</v>
      </c>
      <c r="R25" s="53"/>
      <c r="S25" s="71"/>
      <c r="T25" s="71"/>
      <c r="U25" s="72"/>
      <c r="V25" s="71"/>
      <c r="W25" s="206"/>
      <c r="X25" s="63"/>
      <c r="Y25" s="63"/>
      <c r="Z25" s="63"/>
      <c r="AA25" s="63"/>
    </row>
    <row r="26" spans="1:27" s="44" customFormat="1" ht="15.75" customHeight="1">
      <c r="A26" s="74" t="s">
        <v>45</v>
      </c>
      <c r="B26" s="214"/>
      <c r="C26" s="203" t="s">
        <v>101</v>
      </c>
      <c r="D26" s="96" t="s">
        <v>102</v>
      </c>
      <c r="E26" s="155">
        <v>2</v>
      </c>
      <c r="F26" s="204" t="b">
        <v>0</v>
      </c>
      <c r="G26" s="162">
        <v>6.06</v>
      </c>
      <c r="H26" s="91">
        <v>0.76</v>
      </c>
      <c r="I26" s="89" t="s">
        <v>49</v>
      </c>
      <c r="J26" s="89" t="s">
        <v>50</v>
      </c>
      <c r="K26" s="80">
        <v>6.06</v>
      </c>
      <c r="L26" s="80">
        <v>0.76</v>
      </c>
      <c r="M26" s="80">
        <f t="shared" si="9"/>
        <v>9.2111999999999998</v>
      </c>
      <c r="N26" s="92" t="str">
        <f t="shared" si="10"/>
        <v>ECO RJrolo_9</v>
      </c>
      <c r="O26" s="99" t="s">
        <v>56</v>
      </c>
      <c r="P26" s="194"/>
      <c r="Q26" s="80"/>
      <c r="R26" s="53"/>
      <c r="S26" s="71"/>
      <c r="T26" s="71"/>
      <c r="U26" s="72"/>
      <c r="V26" s="71"/>
      <c r="W26" s="206"/>
      <c r="X26" s="63"/>
      <c r="Y26" s="63"/>
      <c r="Z26" s="63"/>
      <c r="AA26" s="63"/>
    </row>
    <row r="27" spans="1:27" s="44" customFormat="1" ht="15.75" customHeight="1">
      <c r="A27" s="74" t="s">
        <v>45</v>
      </c>
      <c r="B27" s="214"/>
      <c r="C27" s="203" t="s">
        <v>103</v>
      </c>
      <c r="D27" s="96" t="s">
        <v>104</v>
      </c>
      <c r="E27" s="155">
        <v>2</v>
      </c>
      <c r="F27" s="204" t="b">
        <v>0</v>
      </c>
      <c r="G27" s="162">
        <v>6.06</v>
      </c>
      <c r="H27" s="91">
        <v>0.76</v>
      </c>
      <c r="I27" s="89" t="s">
        <v>49</v>
      </c>
      <c r="J27" s="89" t="s">
        <v>50</v>
      </c>
      <c r="K27" s="80">
        <v>6.06</v>
      </c>
      <c r="L27" s="80">
        <v>0.76</v>
      </c>
      <c r="M27" s="80">
        <f t="shared" si="9"/>
        <v>9.2111999999999998</v>
      </c>
      <c r="N27" s="92" t="str">
        <f t="shared" si="10"/>
        <v>ECO RJrolo_10</v>
      </c>
      <c r="O27" s="99" t="s">
        <v>56</v>
      </c>
      <c r="P27" s="183"/>
      <c r="Q27" s="61"/>
      <c r="R27" s="53"/>
      <c r="S27" s="71"/>
      <c r="T27" s="71"/>
      <c r="U27" s="72"/>
      <c r="V27" s="71"/>
      <c r="W27" s="206"/>
      <c r="X27" s="63"/>
      <c r="Y27" s="63"/>
      <c r="Z27" s="63"/>
      <c r="AA27" s="63"/>
    </row>
    <row r="28" spans="1:27" s="44" customFormat="1" ht="15.75" customHeight="1">
      <c r="A28" s="74" t="s">
        <v>45</v>
      </c>
      <c r="B28" s="214"/>
      <c r="C28" s="203" t="s">
        <v>105</v>
      </c>
      <c r="D28" s="96" t="s">
        <v>106</v>
      </c>
      <c r="E28" s="155">
        <v>1</v>
      </c>
      <c r="F28" s="204" t="b">
        <v>0</v>
      </c>
      <c r="G28" s="162">
        <v>6.06</v>
      </c>
      <c r="H28" s="91">
        <v>0.76</v>
      </c>
      <c r="I28" s="89" t="s">
        <v>49</v>
      </c>
      <c r="J28" s="89" t="s">
        <v>50</v>
      </c>
      <c r="K28" s="80">
        <v>6.06</v>
      </c>
      <c r="L28" s="80">
        <v>0.76</v>
      </c>
      <c r="M28" s="80">
        <f t="shared" si="9"/>
        <v>4.6055999999999999</v>
      </c>
      <c r="N28" s="92" t="str">
        <f t="shared" si="10"/>
        <v>ECO RJrolo_11</v>
      </c>
      <c r="O28" s="99" t="s">
        <v>56</v>
      </c>
      <c r="P28" s="183"/>
      <c r="Q28" s="61"/>
      <c r="R28" s="53"/>
      <c r="S28" s="71"/>
      <c r="T28" s="71"/>
      <c r="U28" s="72"/>
      <c r="V28" s="71"/>
      <c r="W28" s="206"/>
      <c r="X28" s="63"/>
      <c r="Y28" s="63"/>
      <c r="Z28" s="63"/>
      <c r="AA28" s="63"/>
    </row>
    <row r="29" spans="1:27" s="44" customFormat="1" ht="15.75" customHeight="1">
      <c r="A29" s="74" t="s">
        <v>45</v>
      </c>
      <c r="B29" s="214"/>
      <c r="C29" s="203" t="s">
        <v>107</v>
      </c>
      <c r="D29" s="96" t="s">
        <v>108</v>
      </c>
      <c r="E29" s="155">
        <v>1</v>
      </c>
      <c r="F29" s="204" t="b">
        <v>0</v>
      </c>
      <c r="G29" s="162">
        <v>6.06</v>
      </c>
      <c r="H29" s="91">
        <v>0.76</v>
      </c>
      <c r="I29" s="89" t="s">
        <v>49</v>
      </c>
      <c r="J29" s="89" t="s">
        <v>50</v>
      </c>
      <c r="K29" s="80">
        <v>6.06</v>
      </c>
      <c r="L29" s="80">
        <v>0.76</v>
      </c>
      <c r="M29" s="80">
        <f t="shared" si="9"/>
        <v>4.6055999999999999</v>
      </c>
      <c r="N29" s="92" t="str">
        <f t="shared" si="10"/>
        <v>ECO RJrolo_12</v>
      </c>
      <c r="O29" s="99" t="s">
        <v>56</v>
      </c>
      <c r="P29" s="183"/>
      <c r="Q29" s="61"/>
      <c r="R29" s="53"/>
      <c r="S29" s="71"/>
      <c r="T29" s="71"/>
      <c r="U29" s="72"/>
      <c r="V29" s="71"/>
      <c r="W29" s="206"/>
      <c r="X29" s="63"/>
      <c r="Y29" s="63"/>
      <c r="Z29" s="63"/>
      <c r="AA29" s="63"/>
    </row>
    <row r="30" spans="1:27" s="44" customFormat="1" ht="15.75" customHeight="1">
      <c r="A30" s="74" t="s">
        <v>45</v>
      </c>
      <c r="B30" s="214"/>
      <c r="C30" s="203" t="s">
        <v>109</v>
      </c>
      <c r="D30" s="96" t="s">
        <v>110</v>
      </c>
      <c r="E30" s="155">
        <v>1</v>
      </c>
      <c r="F30" s="204" t="b">
        <v>0</v>
      </c>
      <c r="G30" s="162">
        <v>6.06</v>
      </c>
      <c r="H30" s="91">
        <v>0.76</v>
      </c>
      <c r="I30" s="89" t="s">
        <v>49</v>
      </c>
      <c r="J30" s="89" t="s">
        <v>50</v>
      </c>
      <c r="K30" s="80">
        <v>6.06</v>
      </c>
      <c r="L30" s="80">
        <v>0.76</v>
      </c>
      <c r="M30" s="80">
        <f t="shared" ref="M30:M31" si="13">L30*K30*E30</f>
        <v>4.6055999999999999</v>
      </c>
      <c r="N30" s="92" t="str">
        <f t="shared" ref="N30:N31" si="14">A30&amp;D30</f>
        <v>ECO RJrolo_13</v>
      </c>
      <c r="O30" s="99" t="s">
        <v>56</v>
      </c>
      <c r="P30" s="183"/>
      <c r="Q30" s="61"/>
      <c r="R30" s="53"/>
      <c r="S30" s="71"/>
      <c r="T30" s="71"/>
      <c r="U30" s="72"/>
      <c r="V30" s="71"/>
      <c r="W30" s="206"/>
      <c r="X30" s="63"/>
      <c r="Y30" s="63"/>
      <c r="Z30" s="63"/>
      <c r="AA30" s="63"/>
    </row>
    <row r="31" spans="1:27" s="44" customFormat="1" ht="15.75" customHeight="1">
      <c r="A31" s="74" t="s">
        <v>45</v>
      </c>
      <c r="B31" s="215"/>
      <c r="C31" s="203" t="s">
        <v>111</v>
      </c>
      <c r="D31" s="96" t="s">
        <v>112</v>
      </c>
      <c r="E31" s="155">
        <v>1</v>
      </c>
      <c r="F31" s="204" t="b">
        <v>0</v>
      </c>
      <c r="G31" s="162">
        <v>6.06</v>
      </c>
      <c r="H31" s="91">
        <v>0.76</v>
      </c>
      <c r="I31" s="89" t="s">
        <v>49</v>
      </c>
      <c r="J31" s="89" t="s">
        <v>50</v>
      </c>
      <c r="K31" s="80">
        <v>6.06</v>
      </c>
      <c r="L31" s="80">
        <v>0.76</v>
      </c>
      <c r="M31" s="80">
        <f t="shared" si="13"/>
        <v>4.6055999999999999</v>
      </c>
      <c r="N31" s="92" t="str">
        <f t="shared" si="14"/>
        <v>ECO RJrolo_14</v>
      </c>
      <c r="O31" s="99" t="s">
        <v>56</v>
      </c>
      <c r="P31" s="183"/>
      <c r="Q31" s="61"/>
      <c r="R31" s="53"/>
      <c r="S31" s="71"/>
      <c r="T31" s="71"/>
      <c r="U31" s="72"/>
      <c r="V31" s="71"/>
      <c r="W31" s="206"/>
      <c r="X31" s="63"/>
      <c r="Y31" s="63"/>
      <c r="Z31" s="63"/>
      <c r="AA31" s="63"/>
    </row>
    <row r="32" spans="1:27" s="44" customFormat="1" ht="15.75" customHeight="1">
      <c r="A32" s="74" t="s">
        <v>45</v>
      </c>
      <c r="B32" s="214" t="s">
        <v>113</v>
      </c>
      <c r="C32" s="69" t="s">
        <v>114</v>
      </c>
      <c r="D32" s="69"/>
      <c r="E32" s="153">
        <v>1</v>
      </c>
      <c r="F32" s="204" t="b">
        <v>0</v>
      </c>
      <c r="G32" s="164">
        <v>4.62</v>
      </c>
      <c r="H32" s="67">
        <v>2.73</v>
      </c>
      <c r="I32" s="68" t="s">
        <v>49</v>
      </c>
      <c r="J32" s="68" t="s">
        <v>115</v>
      </c>
      <c r="K32" s="67">
        <v>5.0199999999999996</v>
      </c>
      <c r="L32" s="67">
        <v>3.02</v>
      </c>
      <c r="M32" s="60">
        <f>L32*K32*E32</f>
        <v>15.160399999999999</v>
      </c>
      <c r="N32" s="92" t="str">
        <f t="shared" si="0"/>
        <v>ECO RJ</v>
      </c>
      <c r="O32" s="99"/>
      <c r="P32" s="83"/>
      <c r="Q32" s="184"/>
      <c r="R32" s="53"/>
      <c r="S32" s="62"/>
      <c r="T32" s="73"/>
      <c r="U32" s="66"/>
      <c r="V32" s="66"/>
      <c r="W32" s="206"/>
      <c r="X32" s="63"/>
      <c r="Y32" s="63"/>
      <c r="Z32" s="63"/>
      <c r="AA32" s="63"/>
    </row>
    <row r="33" spans="1:27" s="44" customFormat="1" ht="15.75" customHeight="1">
      <c r="A33" s="74" t="s">
        <v>45</v>
      </c>
      <c r="B33" s="214"/>
      <c r="C33" s="81" t="s">
        <v>116</v>
      </c>
      <c r="D33" s="87"/>
      <c r="E33" s="158">
        <v>1</v>
      </c>
      <c r="F33" s="204" t="b">
        <v>0</v>
      </c>
      <c r="G33" s="165">
        <v>1.42</v>
      </c>
      <c r="H33" s="83">
        <v>1.53</v>
      </c>
      <c r="I33" s="82" t="s">
        <v>117</v>
      </c>
      <c r="J33" s="82" t="s">
        <v>118</v>
      </c>
      <c r="K33" s="83">
        <v>1.42</v>
      </c>
      <c r="L33" s="83">
        <v>1.53</v>
      </c>
      <c r="M33" s="83"/>
      <c r="N33" s="92" t="str">
        <f t="shared" si="0"/>
        <v>ECO RJ</v>
      </c>
      <c r="O33" s="99"/>
      <c r="P33" s="194" t="s">
        <v>51</v>
      </c>
      <c r="Q33" s="80" t="s">
        <v>52</v>
      </c>
      <c r="R33" s="53"/>
      <c r="S33" s="62"/>
      <c r="T33" s="73"/>
      <c r="U33" s="66"/>
      <c r="V33" s="66"/>
      <c r="W33" s="206"/>
      <c r="X33" s="63"/>
      <c r="Y33" s="63"/>
      <c r="Z33" s="63"/>
      <c r="AA33" s="63"/>
    </row>
    <row r="34" spans="1:27" s="44" customFormat="1" ht="15.75" customHeight="1">
      <c r="A34" s="74" t="s">
        <v>45</v>
      </c>
      <c r="B34" s="214"/>
      <c r="C34" s="70" t="s">
        <v>119</v>
      </c>
      <c r="D34" s="58"/>
      <c r="E34" s="159">
        <v>1</v>
      </c>
      <c r="F34" s="204" t="b">
        <v>0</v>
      </c>
      <c r="G34" s="166"/>
      <c r="H34" s="60"/>
      <c r="I34" s="59" t="s">
        <v>120</v>
      </c>
      <c r="J34" s="59" t="s">
        <v>118</v>
      </c>
      <c r="K34" s="60"/>
      <c r="L34" s="60"/>
      <c r="M34" s="60"/>
      <c r="N34" s="92" t="str">
        <f t="shared" si="0"/>
        <v>ECO RJ</v>
      </c>
      <c r="O34" s="99"/>
      <c r="P34" s="194" t="s">
        <v>51</v>
      </c>
      <c r="Q34" s="80" t="s">
        <v>52</v>
      </c>
      <c r="R34" s="53"/>
      <c r="S34" s="62"/>
      <c r="T34" s="73"/>
      <c r="U34" s="66"/>
      <c r="V34" s="66"/>
      <c r="W34" s="206"/>
      <c r="X34" s="63"/>
      <c r="Y34" s="63"/>
      <c r="Z34" s="63"/>
      <c r="AA34" s="63"/>
    </row>
    <row r="35" spans="1:27" s="44" customFormat="1" ht="15.75" customHeight="1">
      <c r="A35" s="74" t="s">
        <v>45</v>
      </c>
      <c r="B35" s="214"/>
      <c r="C35" s="70" t="s">
        <v>121</v>
      </c>
      <c r="D35" s="174"/>
      <c r="E35" s="175">
        <v>1</v>
      </c>
      <c r="F35" s="204" t="b">
        <v>0</v>
      </c>
      <c r="G35" s="176"/>
      <c r="H35" s="27"/>
      <c r="I35" s="182" t="s">
        <v>122</v>
      </c>
      <c r="J35" s="182" t="s">
        <v>123</v>
      </c>
      <c r="K35" s="27"/>
      <c r="L35" s="27"/>
      <c r="M35" s="27"/>
      <c r="N35" s="92" t="str">
        <f t="shared" si="0"/>
        <v>ECO RJ</v>
      </c>
      <c r="O35" s="99"/>
      <c r="P35" s="194" t="s">
        <v>51</v>
      </c>
      <c r="Q35" s="80" t="s">
        <v>52</v>
      </c>
      <c r="R35" s="53"/>
      <c r="S35" s="62"/>
      <c r="T35" s="73"/>
      <c r="U35" s="66"/>
      <c r="V35" s="66"/>
      <c r="W35" s="206"/>
      <c r="X35" s="63"/>
      <c r="Y35" s="63"/>
      <c r="Z35" s="63"/>
      <c r="AA35" s="63"/>
    </row>
    <row r="36" spans="1:27" s="44" customFormat="1" ht="15.75" customHeight="1">
      <c r="A36" s="74" t="s">
        <v>45</v>
      </c>
      <c r="B36" s="215"/>
      <c r="C36" s="70" t="s">
        <v>124</v>
      </c>
      <c r="D36" s="174"/>
      <c r="E36" s="175">
        <v>1</v>
      </c>
      <c r="F36" s="204" t="b">
        <v>0</v>
      </c>
      <c r="G36" s="176"/>
      <c r="H36" s="27"/>
      <c r="I36" s="177" t="s">
        <v>122</v>
      </c>
      <c r="J36" s="177" t="s">
        <v>123</v>
      </c>
      <c r="K36" s="27"/>
      <c r="L36" s="27"/>
      <c r="M36" s="178"/>
      <c r="N36" s="92" t="str">
        <f t="shared" si="0"/>
        <v>ECO RJ</v>
      </c>
      <c r="O36" s="99"/>
      <c r="P36" s="194" t="s">
        <v>51</v>
      </c>
      <c r="Q36" s="80" t="s">
        <v>52</v>
      </c>
      <c r="R36" s="53"/>
      <c r="S36" s="62"/>
      <c r="T36" s="73"/>
      <c r="U36" s="66"/>
      <c r="V36" s="66"/>
      <c r="W36" s="206"/>
      <c r="X36" s="63"/>
      <c r="Y36" s="63"/>
      <c r="Z36" s="63"/>
      <c r="AA36" s="63"/>
    </row>
    <row r="37" spans="1:27" s="44" customFormat="1" ht="15.75" customHeight="1">
      <c r="A37" s="74" t="s">
        <v>45</v>
      </c>
      <c r="B37" s="226" t="s">
        <v>125</v>
      </c>
      <c r="C37" s="70" t="s">
        <v>126</v>
      </c>
      <c r="D37" s="58"/>
      <c r="E37" s="159">
        <v>2</v>
      </c>
      <c r="F37" s="204" t="b">
        <v>0</v>
      </c>
      <c r="G37" s="166">
        <v>1.18</v>
      </c>
      <c r="H37" s="60">
        <v>1.29</v>
      </c>
      <c r="I37" s="82" t="s">
        <v>117</v>
      </c>
      <c r="J37" s="82" t="s">
        <v>118</v>
      </c>
      <c r="K37" s="60">
        <v>1.18</v>
      </c>
      <c r="L37" s="60">
        <v>1.29</v>
      </c>
      <c r="M37" s="83"/>
      <c r="N37" s="92" t="str">
        <f t="shared" si="0"/>
        <v>ECO RJ</v>
      </c>
      <c r="O37" s="99"/>
      <c r="P37" s="194" t="s">
        <v>51</v>
      </c>
      <c r="Q37" s="80" t="s">
        <v>52</v>
      </c>
      <c r="R37" s="53"/>
      <c r="S37" s="62"/>
      <c r="T37" s="73"/>
      <c r="U37" s="66"/>
      <c r="V37" s="66"/>
      <c r="W37" s="206"/>
      <c r="X37" s="63"/>
      <c r="Y37" s="63"/>
      <c r="Z37" s="63"/>
      <c r="AA37" s="63"/>
    </row>
    <row r="38" spans="1:27" s="44" customFormat="1" ht="15.75" customHeight="1">
      <c r="A38" s="74" t="s">
        <v>45</v>
      </c>
      <c r="B38" s="227"/>
      <c r="C38" s="70" t="s">
        <v>119</v>
      </c>
      <c r="D38" s="58"/>
      <c r="E38" s="159">
        <v>2</v>
      </c>
      <c r="F38" s="204" t="b">
        <v>0</v>
      </c>
      <c r="G38" s="166"/>
      <c r="H38" s="60"/>
      <c r="I38" s="59" t="s">
        <v>120</v>
      </c>
      <c r="J38" s="59" t="s">
        <v>118</v>
      </c>
      <c r="K38" s="60"/>
      <c r="L38" s="60"/>
      <c r="M38" s="83"/>
      <c r="N38" s="92" t="str">
        <f t="shared" si="0"/>
        <v>ECO RJ</v>
      </c>
      <c r="O38" s="99"/>
      <c r="P38" s="194" t="s">
        <v>51</v>
      </c>
      <c r="Q38" s="80" t="s">
        <v>52</v>
      </c>
      <c r="R38" s="53"/>
      <c r="S38" s="62"/>
      <c r="T38" s="73"/>
      <c r="U38" s="66"/>
      <c r="V38" s="66"/>
      <c r="W38" s="206"/>
      <c r="X38" s="63"/>
      <c r="Y38" s="63"/>
      <c r="Z38" s="63"/>
      <c r="AA38" s="63"/>
    </row>
    <row r="39" spans="1:27" s="44" customFormat="1" ht="15.75" customHeight="1">
      <c r="A39" s="74" t="s">
        <v>45</v>
      </c>
      <c r="B39" s="227"/>
      <c r="C39" s="70" t="s">
        <v>127</v>
      </c>
      <c r="D39" s="174"/>
      <c r="E39" s="175">
        <v>2</v>
      </c>
      <c r="F39" s="204" t="b">
        <v>0</v>
      </c>
      <c r="G39" s="176">
        <v>2.2000000000000002</v>
      </c>
      <c r="H39" s="27">
        <v>1.2</v>
      </c>
      <c r="I39" s="177" t="s">
        <v>122</v>
      </c>
      <c r="J39" s="177" t="s">
        <v>123</v>
      </c>
      <c r="K39" s="27">
        <v>2.2000000000000002</v>
      </c>
      <c r="L39" s="27">
        <v>1.2</v>
      </c>
      <c r="M39" s="178"/>
      <c r="N39" s="92" t="str">
        <f t="shared" si="0"/>
        <v>ECO RJ</v>
      </c>
      <c r="O39" s="99"/>
      <c r="P39" s="179"/>
      <c r="Q39" s="60"/>
      <c r="R39" s="53"/>
      <c r="S39" s="62"/>
      <c r="T39" s="65"/>
      <c r="U39" s="66"/>
      <c r="V39" s="66"/>
      <c r="W39" s="206"/>
      <c r="X39" s="63"/>
      <c r="Y39" s="63"/>
      <c r="Z39" s="63"/>
      <c r="AA39" s="63"/>
    </row>
    <row r="40" spans="1:27" s="44" customFormat="1" ht="15.75" customHeight="1">
      <c r="A40" s="74" t="s">
        <v>45</v>
      </c>
      <c r="B40" s="227"/>
      <c r="C40" s="70" t="s">
        <v>128</v>
      </c>
      <c r="D40" s="174"/>
      <c r="E40" s="175">
        <v>2</v>
      </c>
      <c r="F40" s="204" t="b">
        <v>0</v>
      </c>
      <c r="G40" s="176">
        <v>2.2000000000000002</v>
      </c>
      <c r="H40" s="27">
        <v>1.2</v>
      </c>
      <c r="I40" s="177" t="s">
        <v>122</v>
      </c>
      <c r="J40" s="177" t="s">
        <v>123</v>
      </c>
      <c r="K40" s="27">
        <v>2.2000000000000002</v>
      </c>
      <c r="L40" s="27">
        <v>1.2</v>
      </c>
      <c r="M40" s="178"/>
      <c r="N40" s="92" t="str">
        <f t="shared" si="0"/>
        <v>ECO RJ</v>
      </c>
      <c r="O40" s="99"/>
      <c r="P40" s="179"/>
      <c r="Q40" s="60"/>
      <c r="R40" s="53"/>
      <c r="S40" s="62"/>
      <c r="T40" s="65"/>
      <c r="U40" s="66"/>
      <c r="V40" s="66"/>
      <c r="W40" s="206"/>
      <c r="X40" s="63"/>
      <c r="Y40" s="63"/>
      <c r="Z40" s="63"/>
      <c r="AA40" s="63"/>
    </row>
    <row r="41" spans="1:27" s="44" customFormat="1" ht="15.75" customHeight="1">
      <c r="A41" s="74" t="s">
        <v>45</v>
      </c>
      <c r="B41" s="227"/>
      <c r="C41" s="70" t="s">
        <v>129</v>
      </c>
      <c r="D41" s="58"/>
      <c r="E41" s="159">
        <v>2</v>
      </c>
      <c r="F41" s="204" t="b">
        <v>0</v>
      </c>
      <c r="G41" s="166">
        <v>1</v>
      </c>
      <c r="H41" s="60">
        <v>0.8</v>
      </c>
      <c r="I41" s="82" t="s">
        <v>130</v>
      </c>
      <c r="J41" s="82" t="s">
        <v>131</v>
      </c>
      <c r="K41" s="60">
        <v>1</v>
      </c>
      <c r="L41" s="60">
        <v>0.8</v>
      </c>
      <c r="M41" s="83"/>
      <c r="N41" s="92" t="str">
        <f t="shared" si="0"/>
        <v>ECO RJ</v>
      </c>
      <c r="O41" s="99"/>
      <c r="P41" s="100"/>
      <c r="Q41" s="60"/>
      <c r="R41" s="53"/>
      <c r="S41" s="62"/>
      <c r="T41" s="65"/>
      <c r="U41" s="66"/>
      <c r="V41" s="66"/>
      <c r="W41" s="206"/>
      <c r="X41" s="63"/>
      <c r="Y41" s="63"/>
      <c r="Z41" s="63"/>
      <c r="AA41" s="63"/>
    </row>
    <row r="42" spans="1:27" s="44" customFormat="1" ht="15.75" customHeight="1">
      <c r="A42" s="74" t="s">
        <v>45</v>
      </c>
      <c r="B42" s="227"/>
      <c r="C42" s="70" t="s">
        <v>132</v>
      </c>
      <c r="D42" s="58"/>
      <c r="E42" s="159">
        <v>2</v>
      </c>
      <c r="F42" s="204" t="b">
        <v>0</v>
      </c>
      <c r="G42" s="166">
        <v>0.92</v>
      </c>
      <c r="H42" s="60">
        <v>1</v>
      </c>
      <c r="I42" s="82" t="s">
        <v>130</v>
      </c>
      <c r="J42" s="82" t="s">
        <v>131</v>
      </c>
      <c r="K42" s="60">
        <v>0.92</v>
      </c>
      <c r="L42" s="60">
        <v>1</v>
      </c>
      <c r="M42" s="83"/>
      <c r="N42" s="92" t="str">
        <f t="shared" si="0"/>
        <v>ECO RJ</v>
      </c>
      <c r="O42" s="99"/>
      <c r="P42" s="100"/>
      <c r="Q42" s="60"/>
      <c r="R42" s="53"/>
      <c r="S42" s="62"/>
      <c r="T42" s="65"/>
      <c r="U42" s="66"/>
      <c r="V42" s="66"/>
      <c r="W42" s="206"/>
      <c r="X42" s="63"/>
      <c r="Y42" s="63"/>
      <c r="Z42" s="63"/>
      <c r="AA42" s="63"/>
    </row>
    <row r="43" spans="1:27" s="44" customFormat="1" ht="15.75" customHeight="1">
      <c r="A43" s="74" t="s">
        <v>45</v>
      </c>
      <c r="B43" s="227"/>
      <c r="C43" s="70" t="s">
        <v>133</v>
      </c>
      <c r="D43" s="174"/>
      <c r="E43" s="175">
        <v>2</v>
      </c>
      <c r="F43" s="204" t="b">
        <v>0</v>
      </c>
      <c r="G43" s="176">
        <v>1</v>
      </c>
      <c r="H43" s="27">
        <v>0.8</v>
      </c>
      <c r="I43" s="177" t="s">
        <v>130</v>
      </c>
      <c r="J43" s="177" t="s">
        <v>131</v>
      </c>
      <c r="K43" s="27">
        <v>1</v>
      </c>
      <c r="L43" s="27">
        <v>0.8</v>
      </c>
      <c r="M43" s="178"/>
      <c r="N43" s="92" t="str">
        <f t="shared" si="0"/>
        <v>ECO RJ</v>
      </c>
      <c r="O43" s="99"/>
      <c r="P43" s="181"/>
      <c r="Q43" s="86"/>
      <c r="R43" s="53"/>
      <c r="S43" s="62"/>
      <c r="T43" s="65"/>
      <c r="U43" s="66"/>
      <c r="V43" s="66"/>
      <c r="W43" s="206"/>
      <c r="X43" s="63"/>
      <c r="Y43" s="63"/>
      <c r="Z43" s="63"/>
      <c r="AA43" s="63"/>
    </row>
    <row r="44" spans="1:27" s="44" customFormat="1" ht="15.75" customHeight="1">
      <c r="A44" s="74" t="s">
        <v>45</v>
      </c>
      <c r="B44" s="228"/>
      <c r="C44" s="70" t="s">
        <v>134</v>
      </c>
      <c r="D44" s="180"/>
      <c r="E44" s="175">
        <v>2</v>
      </c>
      <c r="F44" s="204" t="b">
        <v>0</v>
      </c>
      <c r="G44" s="176">
        <v>0.9</v>
      </c>
      <c r="H44" s="27">
        <v>1</v>
      </c>
      <c r="I44" s="177" t="s">
        <v>130</v>
      </c>
      <c r="J44" s="177" t="s">
        <v>131</v>
      </c>
      <c r="K44" s="27">
        <v>0.9</v>
      </c>
      <c r="L44" s="27">
        <v>1</v>
      </c>
      <c r="M44" s="178"/>
      <c r="N44" s="92" t="str">
        <f t="shared" si="0"/>
        <v>ECO RJ</v>
      </c>
      <c r="O44" s="114"/>
      <c r="P44" s="192"/>
      <c r="Q44" s="67"/>
      <c r="R44" s="53"/>
      <c r="S44" s="62"/>
      <c r="T44" s="65"/>
      <c r="U44" s="66"/>
      <c r="V44" s="66"/>
      <c r="W44" s="206"/>
      <c r="X44" s="63"/>
      <c r="Y44" s="63"/>
      <c r="Z44" s="63"/>
      <c r="AA44" s="63"/>
    </row>
    <row r="45" spans="1:27" s="44" customFormat="1" ht="15.75" customHeight="1">
      <c r="A45" s="74" t="s">
        <v>45</v>
      </c>
      <c r="B45" s="223" t="s">
        <v>135</v>
      </c>
      <c r="C45" s="187" t="s">
        <v>136</v>
      </c>
      <c r="D45" s="69" t="s">
        <v>137</v>
      </c>
      <c r="E45" s="157">
        <v>2</v>
      </c>
      <c r="F45" s="204" t="b">
        <v>0</v>
      </c>
      <c r="G45" s="166">
        <v>8.35</v>
      </c>
      <c r="H45" s="60">
        <v>1.45</v>
      </c>
      <c r="I45" s="82" t="s">
        <v>49</v>
      </c>
      <c r="J45" s="82" t="s">
        <v>50</v>
      </c>
      <c r="K45" s="60">
        <f>G45+0.06</f>
        <v>8.41</v>
      </c>
      <c r="L45" s="60">
        <v>1.45</v>
      </c>
      <c r="M45" s="83">
        <f t="shared" ref="M45:M46" si="15">L45*K45*E45</f>
        <v>24.388999999999999</v>
      </c>
      <c r="N45" s="92" t="str">
        <f>A45&amp;D45</f>
        <v>ECO RJtest_cheg</v>
      </c>
      <c r="O45" s="114"/>
      <c r="P45" s="67"/>
      <c r="Q45" s="193"/>
      <c r="R45" s="53"/>
      <c r="S45" s="62"/>
      <c r="T45" s="65"/>
      <c r="U45" s="66"/>
      <c r="V45" s="66"/>
      <c r="W45" s="206"/>
      <c r="X45" s="63"/>
      <c r="Y45" s="63"/>
      <c r="Z45" s="63"/>
      <c r="AA45" s="63"/>
    </row>
    <row r="46" spans="1:27" s="44" customFormat="1" ht="15.75" customHeight="1">
      <c r="A46" s="74" t="s">
        <v>45</v>
      </c>
      <c r="B46" s="224"/>
      <c r="C46" s="187" t="s">
        <v>138</v>
      </c>
      <c r="D46" s="69" t="s">
        <v>139</v>
      </c>
      <c r="E46" s="157">
        <v>2</v>
      </c>
      <c r="F46" s="204" t="b">
        <v>0</v>
      </c>
      <c r="G46" s="166">
        <v>1.1499999999999999</v>
      </c>
      <c r="H46" s="60">
        <v>3.03</v>
      </c>
      <c r="I46" s="82" t="s">
        <v>49</v>
      </c>
      <c r="J46" s="82" t="s">
        <v>50</v>
      </c>
      <c r="K46" s="60">
        <f t="shared" ref="K46:K47" si="16">G46+0.06</f>
        <v>1.21</v>
      </c>
      <c r="L46" s="60">
        <v>3.09</v>
      </c>
      <c r="M46" s="83">
        <f t="shared" si="15"/>
        <v>7.4777999999999993</v>
      </c>
      <c r="N46" s="92" t="str">
        <f t="shared" ref="N46:N47" si="17">A46&amp;D46</f>
        <v>ECO RJLat_Dir</v>
      </c>
      <c r="O46" s="114"/>
      <c r="P46" s="67"/>
      <c r="Q46" s="193"/>
      <c r="R46" s="53"/>
      <c r="S46" s="62"/>
      <c r="T46" s="65"/>
      <c r="U46" s="66"/>
      <c r="V46" s="66"/>
      <c r="W46" s="206"/>
      <c r="X46" s="63"/>
      <c r="Y46" s="63"/>
      <c r="Z46" s="63"/>
      <c r="AA46" s="63"/>
    </row>
    <row r="47" spans="1:27" s="44" customFormat="1" ht="15.75" customHeight="1">
      <c r="A47" s="74" t="s">
        <v>45</v>
      </c>
      <c r="B47" s="224"/>
      <c r="C47" s="187" t="s">
        <v>140</v>
      </c>
      <c r="D47" s="69" t="s">
        <v>141</v>
      </c>
      <c r="E47" s="157">
        <v>2</v>
      </c>
      <c r="F47" s="204" t="b">
        <v>0</v>
      </c>
      <c r="G47" s="166">
        <v>1.1499999999999999</v>
      </c>
      <c r="H47" s="60">
        <v>3.03</v>
      </c>
      <c r="I47" s="82" t="s">
        <v>49</v>
      </c>
      <c r="J47" s="82" t="s">
        <v>50</v>
      </c>
      <c r="K47" s="60">
        <f t="shared" si="16"/>
        <v>1.21</v>
      </c>
      <c r="L47" s="60">
        <v>3.09</v>
      </c>
      <c r="M47" s="188">
        <f t="shared" ref="M47" si="18">L47*K47*F47</f>
        <v>0</v>
      </c>
      <c r="N47" s="92" t="str">
        <f t="shared" si="17"/>
        <v>ECO RJLat_esq</v>
      </c>
      <c r="O47" s="114"/>
      <c r="P47" s="67"/>
      <c r="Q47" s="193"/>
      <c r="R47" s="53"/>
      <c r="S47" s="62"/>
      <c r="T47" s="65"/>
      <c r="U47" s="66"/>
      <c r="V47" s="66"/>
      <c r="W47" s="206"/>
      <c r="X47" s="63"/>
      <c r="Y47" s="63"/>
      <c r="Z47" s="63"/>
      <c r="AA47" s="63"/>
    </row>
    <row r="48" spans="1:27" s="44" customFormat="1" ht="15.75" customHeight="1">
      <c r="A48" s="74" t="s">
        <v>45</v>
      </c>
      <c r="B48" s="225" t="s">
        <v>142</v>
      </c>
      <c r="C48" s="85" t="s">
        <v>143</v>
      </c>
      <c r="D48" s="69" t="s">
        <v>144</v>
      </c>
      <c r="E48" s="156">
        <v>1</v>
      </c>
      <c r="F48" s="204" t="b">
        <v>0</v>
      </c>
      <c r="G48" s="165">
        <v>3.95</v>
      </c>
      <c r="H48" s="83">
        <v>2.95</v>
      </c>
      <c r="I48" s="82" t="s">
        <v>49</v>
      </c>
      <c r="J48" s="82" t="s">
        <v>50</v>
      </c>
      <c r="K48" s="60">
        <f>G48+0.06</f>
        <v>4.01</v>
      </c>
      <c r="L48" s="60">
        <f>H48+0.06</f>
        <v>3.0100000000000002</v>
      </c>
      <c r="M48" s="83">
        <f t="shared" ref="M48:M87" si="19">L48*K48*E48</f>
        <v>12.0701</v>
      </c>
      <c r="N48" s="92" t="str">
        <f t="shared" si="0"/>
        <v>ECO RJqd_fotos1</v>
      </c>
      <c r="O48" s="114"/>
      <c r="P48" s="194"/>
      <c r="Q48" s="80"/>
      <c r="R48" s="53"/>
      <c r="S48" s="63"/>
      <c r="T48" s="63"/>
      <c r="U48" s="63"/>
      <c r="V48" s="63"/>
      <c r="W48" s="62"/>
      <c r="X48" s="63"/>
      <c r="Y48" s="63"/>
      <c r="Z48" s="63"/>
      <c r="AA48" s="63"/>
    </row>
    <row r="49" spans="1:27" s="44" customFormat="1" ht="15.75" customHeight="1">
      <c r="A49" s="74" t="s">
        <v>45</v>
      </c>
      <c r="B49" s="214"/>
      <c r="C49" s="70" t="s">
        <v>145</v>
      </c>
      <c r="D49" s="87" t="s">
        <v>146</v>
      </c>
      <c r="E49" s="158">
        <v>1</v>
      </c>
      <c r="F49" s="204" t="b">
        <v>0</v>
      </c>
      <c r="G49" s="165">
        <v>3.95</v>
      </c>
      <c r="H49" s="83">
        <v>2.95</v>
      </c>
      <c r="I49" s="82" t="s">
        <v>49</v>
      </c>
      <c r="J49" s="82" t="s">
        <v>50</v>
      </c>
      <c r="K49" s="60">
        <f t="shared" ref="K49:K54" si="20">G49+0.06</f>
        <v>4.01</v>
      </c>
      <c r="L49" s="60">
        <f t="shared" ref="L49:L54" si="21">H49+0.06</f>
        <v>3.0100000000000002</v>
      </c>
      <c r="M49" s="83">
        <f t="shared" si="19"/>
        <v>12.0701</v>
      </c>
      <c r="N49" s="92" t="str">
        <f t="shared" si="0"/>
        <v>ECO RJqd_fotos2</v>
      </c>
      <c r="O49" s="99"/>
      <c r="P49" s="195"/>
      <c r="Q49" s="196"/>
      <c r="R49" s="53"/>
      <c r="S49" s="62"/>
      <c r="T49" s="62"/>
      <c r="U49" s="62"/>
      <c r="V49" s="62"/>
      <c r="W49" s="62"/>
      <c r="X49" s="62"/>
      <c r="Y49" s="63"/>
      <c r="Z49" s="63"/>
      <c r="AA49" s="63"/>
    </row>
    <row r="50" spans="1:27" s="44" customFormat="1" ht="15.75" customHeight="1">
      <c r="A50" s="74" t="s">
        <v>45</v>
      </c>
      <c r="B50" s="214"/>
      <c r="C50" s="70" t="s">
        <v>147</v>
      </c>
      <c r="D50" s="87" t="s">
        <v>148</v>
      </c>
      <c r="E50" s="158">
        <v>1</v>
      </c>
      <c r="F50" s="204" t="b">
        <v>0</v>
      </c>
      <c r="G50" s="165">
        <v>3.95</v>
      </c>
      <c r="H50" s="83">
        <v>2.95</v>
      </c>
      <c r="I50" s="82" t="s">
        <v>49</v>
      </c>
      <c r="J50" s="82" t="s">
        <v>50</v>
      </c>
      <c r="K50" s="60">
        <f t="shared" si="20"/>
        <v>4.01</v>
      </c>
      <c r="L50" s="60">
        <f t="shared" si="21"/>
        <v>3.0100000000000002</v>
      </c>
      <c r="M50" s="83">
        <f t="shared" ref="M50:M54" si="22">L50*K50*E50</f>
        <v>12.0701</v>
      </c>
      <c r="N50" s="92" t="str">
        <f t="shared" si="0"/>
        <v>ECO RJqd_fotos3</v>
      </c>
      <c r="O50" s="99"/>
      <c r="P50" s="97"/>
      <c r="Q50" s="191"/>
      <c r="R50" s="53"/>
      <c r="S50" s="62"/>
      <c r="T50" s="62"/>
      <c r="U50" s="62"/>
      <c r="V50" s="62"/>
      <c r="W50" s="62"/>
      <c r="X50" s="62"/>
      <c r="Y50" s="63"/>
      <c r="Z50" s="63"/>
      <c r="AA50" s="63"/>
    </row>
    <row r="51" spans="1:27" s="44" customFormat="1" ht="15.75" customHeight="1">
      <c r="A51" s="74" t="s">
        <v>45</v>
      </c>
      <c r="B51" s="214"/>
      <c r="C51" s="70" t="s">
        <v>149</v>
      </c>
      <c r="D51" s="87" t="s">
        <v>150</v>
      </c>
      <c r="E51" s="158">
        <v>1</v>
      </c>
      <c r="F51" s="204" t="b">
        <v>0</v>
      </c>
      <c r="G51" s="165">
        <v>3.95</v>
      </c>
      <c r="H51" s="83">
        <v>2.95</v>
      </c>
      <c r="I51" s="82" t="s">
        <v>49</v>
      </c>
      <c r="J51" s="82" t="s">
        <v>50</v>
      </c>
      <c r="K51" s="60">
        <f t="shared" si="20"/>
        <v>4.01</v>
      </c>
      <c r="L51" s="60">
        <f t="shared" si="21"/>
        <v>3.0100000000000002</v>
      </c>
      <c r="M51" s="83">
        <f t="shared" si="22"/>
        <v>12.0701</v>
      </c>
      <c r="N51" s="92" t="str">
        <f t="shared" si="0"/>
        <v>ECO RJqd_fotos4</v>
      </c>
      <c r="O51" s="99"/>
      <c r="P51" s="97"/>
      <c r="Q51" s="191"/>
      <c r="R51" s="53"/>
      <c r="S51" s="62"/>
      <c r="T51" s="62"/>
      <c r="U51" s="62"/>
      <c r="V51" s="62"/>
      <c r="W51" s="62"/>
      <c r="X51" s="62"/>
      <c r="Y51" s="63"/>
      <c r="Z51" s="63"/>
      <c r="AA51" s="63"/>
    </row>
    <row r="52" spans="1:27" s="44" customFormat="1" ht="15.75" customHeight="1">
      <c r="A52" s="74" t="s">
        <v>45</v>
      </c>
      <c r="B52" s="214"/>
      <c r="C52" s="70" t="s">
        <v>151</v>
      </c>
      <c r="D52" s="87" t="s">
        <v>152</v>
      </c>
      <c r="E52" s="158">
        <v>1</v>
      </c>
      <c r="F52" s="204" t="b">
        <v>0</v>
      </c>
      <c r="G52" s="165">
        <v>3.95</v>
      </c>
      <c r="H52" s="83">
        <v>2.95</v>
      </c>
      <c r="I52" s="82" t="s">
        <v>49</v>
      </c>
      <c r="J52" s="82" t="s">
        <v>50</v>
      </c>
      <c r="K52" s="60">
        <f t="shared" si="20"/>
        <v>4.01</v>
      </c>
      <c r="L52" s="60">
        <f t="shared" si="21"/>
        <v>3.0100000000000002</v>
      </c>
      <c r="M52" s="83">
        <f t="shared" si="22"/>
        <v>12.0701</v>
      </c>
      <c r="N52" s="92" t="str">
        <f t="shared" si="0"/>
        <v>ECO RJqd_fotos5</v>
      </c>
      <c r="O52" s="99"/>
      <c r="P52" s="97"/>
      <c r="Q52" s="191"/>
      <c r="R52" s="53"/>
      <c r="S52" s="62"/>
      <c r="T52" s="62"/>
      <c r="U52" s="62"/>
      <c r="V52" s="62"/>
      <c r="W52" s="62"/>
      <c r="X52" s="62"/>
      <c r="Y52" s="63"/>
      <c r="Z52" s="63"/>
      <c r="AA52" s="63"/>
    </row>
    <row r="53" spans="1:27" s="44" customFormat="1" ht="15.75" customHeight="1">
      <c r="A53" s="74" t="s">
        <v>45</v>
      </c>
      <c r="B53" s="214"/>
      <c r="C53" s="70" t="s">
        <v>153</v>
      </c>
      <c r="D53" s="87" t="s">
        <v>154</v>
      </c>
      <c r="E53" s="158">
        <v>1</v>
      </c>
      <c r="F53" s="204" t="b">
        <v>0</v>
      </c>
      <c r="G53" s="165">
        <v>3.95</v>
      </c>
      <c r="H53" s="83">
        <v>2.95</v>
      </c>
      <c r="I53" s="82" t="s">
        <v>49</v>
      </c>
      <c r="J53" s="82" t="s">
        <v>50</v>
      </c>
      <c r="K53" s="60">
        <f t="shared" si="20"/>
        <v>4.01</v>
      </c>
      <c r="L53" s="60">
        <f t="shared" si="21"/>
        <v>3.0100000000000002</v>
      </c>
      <c r="M53" s="83">
        <f t="shared" ref="M53" si="23">L53*K53*E53</f>
        <v>12.0701</v>
      </c>
      <c r="N53" s="92" t="str">
        <f t="shared" ref="N53" si="24">A53&amp;D53</f>
        <v>ECO RJqd_fotos6</v>
      </c>
      <c r="O53" s="99"/>
      <c r="P53" s="97"/>
      <c r="Q53" s="191"/>
      <c r="R53" s="53"/>
      <c r="S53" s="62"/>
      <c r="T53" s="62"/>
      <c r="U53" s="62"/>
      <c r="V53" s="62"/>
      <c r="W53" s="62"/>
      <c r="X53" s="62"/>
      <c r="Y53" s="63"/>
      <c r="Z53" s="63"/>
      <c r="AA53" s="63"/>
    </row>
    <row r="54" spans="1:27" s="44" customFormat="1" ht="15.75" customHeight="1">
      <c r="A54" s="74" t="s">
        <v>45</v>
      </c>
      <c r="B54" s="215"/>
      <c r="C54" s="70" t="s">
        <v>155</v>
      </c>
      <c r="D54" s="87" t="s">
        <v>154</v>
      </c>
      <c r="E54" s="158">
        <v>1</v>
      </c>
      <c r="F54" s="204" t="b">
        <v>0</v>
      </c>
      <c r="G54" s="165">
        <v>3.95</v>
      </c>
      <c r="H54" s="83">
        <v>2.95</v>
      </c>
      <c r="I54" s="82" t="s">
        <v>49</v>
      </c>
      <c r="J54" s="82" t="s">
        <v>50</v>
      </c>
      <c r="K54" s="60">
        <f t="shared" si="20"/>
        <v>4.01</v>
      </c>
      <c r="L54" s="60">
        <f t="shared" si="21"/>
        <v>3.0100000000000002</v>
      </c>
      <c r="M54" s="83">
        <f t="shared" si="22"/>
        <v>12.0701</v>
      </c>
      <c r="N54" s="92" t="str">
        <f t="shared" si="0"/>
        <v>ECO RJqd_fotos6</v>
      </c>
      <c r="O54" s="99"/>
      <c r="P54" s="97"/>
      <c r="Q54" s="191"/>
      <c r="R54" s="53"/>
      <c r="S54" s="62"/>
      <c r="T54" s="62"/>
      <c r="U54" s="62"/>
      <c r="V54" s="62"/>
      <c r="W54" s="62"/>
      <c r="X54" s="62"/>
      <c r="Y54" s="63"/>
      <c r="Z54" s="63"/>
      <c r="AA54" s="63"/>
    </row>
    <row r="55" spans="1:27" s="44" customFormat="1" ht="15.75" customHeight="1">
      <c r="A55" s="74" t="s">
        <v>45</v>
      </c>
      <c r="B55" s="217" t="s">
        <v>156</v>
      </c>
      <c r="C55" s="69" t="s">
        <v>157</v>
      </c>
      <c r="D55" s="70" t="s">
        <v>158</v>
      </c>
      <c r="E55" s="159">
        <v>1</v>
      </c>
      <c r="F55" s="204" t="b">
        <v>0</v>
      </c>
      <c r="G55" s="166">
        <v>1.43</v>
      </c>
      <c r="H55" s="60">
        <v>0.48</v>
      </c>
      <c r="I55" s="59" t="s">
        <v>130</v>
      </c>
      <c r="J55" s="59" t="s">
        <v>131</v>
      </c>
      <c r="K55" s="60">
        <v>1.43</v>
      </c>
      <c r="L55" s="60">
        <v>0.48</v>
      </c>
      <c r="M55" s="83">
        <f t="shared" si="19"/>
        <v>0.6863999999999999</v>
      </c>
      <c r="N55" s="92" t="str">
        <f t="shared" si="0"/>
        <v>ECO RJtest_brad</v>
      </c>
      <c r="O55" s="114"/>
      <c r="P55" s="97" t="s">
        <v>51</v>
      </c>
      <c r="Q55" s="191" t="s">
        <v>52</v>
      </c>
      <c r="R55" s="53"/>
      <c r="S55" s="62"/>
      <c r="T55" s="65"/>
      <c r="U55" s="66"/>
      <c r="V55" s="66"/>
      <c r="W55" s="206"/>
      <c r="X55" s="62"/>
      <c r="Y55" s="63"/>
      <c r="Z55" s="63"/>
      <c r="AA55" s="63"/>
    </row>
    <row r="56" spans="1:27" s="44" customFormat="1" ht="15.75" customHeight="1">
      <c r="A56" s="74" t="s">
        <v>45</v>
      </c>
      <c r="B56" s="218"/>
      <c r="C56" s="69" t="s">
        <v>159</v>
      </c>
      <c r="D56" s="70" t="s">
        <v>160</v>
      </c>
      <c r="E56" s="159">
        <v>1</v>
      </c>
      <c r="F56" s="204" t="b">
        <v>0</v>
      </c>
      <c r="G56" s="166">
        <v>8.3000000000000007</v>
      </c>
      <c r="H56" s="60">
        <v>2.2999999999999998</v>
      </c>
      <c r="I56" s="59" t="s">
        <v>49</v>
      </c>
      <c r="J56" s="59" t="s">
        <v>50</v>
      </c>
      <c r="K56" s="60">
        <f>G56+0.06</f>
        <v>8.3600000000000012</v>
      </c>
      <c r="L56" s="60">
        <f>H56+0.06</f>
        <v>2.36</v>
      </c>
      <c r="M56" s="83">
        <f t="shared" si="19"/>
        <v>19.729600000000001</v>
      </c>
      <c r="N56" s="92" t="str">
        <f t="shared" si="0"/>
        <v>ECO RJbk_brad</v>
      </c>
      <c r="O56" s="114"/>
      <c r="P56" s="97" t="s">
        <v>51</v>
      </c>
      <c r="Q56" s="191" t="s">
        <v>52</v>
      </c>
      <c r="R56" s="53"/>
      <c r="S56" s="62"/>
      <c r="T56" s="65"/>
      <c r="U56" s="66"/>
      <c r="V56" s="66"/>
      <c r="W56" s="206"/>
      <c r="X56" s="62"/>
      <c r="Y56" s="63"/>
      <c r="Z56" s="63"/>
      <c r="AA56" s="63"/>
    </row>
    <row r="57" spans="1:27" s="44" customFormat="1" ht="15.75" customHeight="1">
      <c r="A57" s="74" t="s">
        <v>45</v>
      </c>
      <c r="B57" s="218"/>
      <c r="C57" s="69" t="s">
        <v>161</v>
      </c>
      <c r="D57" s="70" t="s">
        <v>162</v>
      </c>
      <c r="E57" s="159">
        <v>1</v>
      </c>
      <c r="F57" s="204" t="b">
        <v>0</v>
      </c>
      <c r="G57" s="166">
        <v>1.26</v>
      </c>
      <c r="H57" s="60">
        <v>0.38</v>
      </c>
      <c r="I57" s="59" t="s">
        <v>130</v>
      </c>
      <c r="J57" s="59" t="s">
        <v>131</v>
      </c>
      <c r="K57" s="60">
        <v>1.26</v>
      </c>
      <c r="L57" s="60">
        <v>0.38</v>
      </c>
      <c r="M57" s="83">
        <f t="shared" si="19"/>
        <v>0.4788</v>
      </c>
      <c r="N57" s="92" t="str">
        <f t="shared" si="0"/>
        <v>ECO RJtest_verde1</v>
      </c>
      <c r="O57" s="114"/>
      <c r="P57" s="97" t="s">
        <v>51</v>
      </c>
      <c r="Q57" s="191" t="s">
        <v>52</v>
      </c>
      <c r="R57" s="53"/>
      <c r="S57" s="62"/>
      <c r="T57" s="65"/>
      <c r="U57" s="66"/>
      <c r="V57" s="66"/>
      <c r="W57" s="206"/>
      <c r="X57" s="62"/>
      <c r="Y57" s="63"/>
      <c r="Z57" s="63"/>
      <c r="AA57" s="63"/>
    </row>
    <row r="58" spans="1:27" s="44" customFormat="1" ht="15.75" customHeight="1">
      <c r="A58" s="74" t="s">
        <v>45</v>
      </c>
      <c r="B58" s="218"/>
      <c r="C58" s="69" t="s">
        <v>163</v>
      </c>
      <c r="D58" s="70" t="s">
        <v>164</v>
      </c>
      <c r="E58" s="159">
        <v>1</v>
      </c>
      <c r="F58" s="204" t="b">
        <v>0</v>
      </c>
      <c r="G58" s="166">
        <v>8.3000000000000007</v>
      </c>
      <c r="H58" s="60">
        <v>2.2999999999999998</v>
      </c>
      <c r="I58" s="59" t="s">
        <v>49</v>
      </c>
      <c r="J58" s="59" t="s">
        <v>50</v>
      </c>
      <c r="K58" s="60">
        <f>G58+0.06</f>
        <v>8.3600000000000012</v>
      </c>
      <c r="L58" s="60">
        <f>H58+0.06</f>
        <v>2.36</v>
      </c>
      <c r="M58" s="83">
        <f t="shared" si="19"/>
        <v>19.729600000000001</v>
      </c>
      <c r="N58" s="92" t="str">
        <f t="shared" si="0"/>
        <v>ECO RJbk_verde</v>
      </c>
      <c r="O58" s="99"/>
      <c r="P58" s="97"/>
      <c r="Q58" s="191"/>
      <c r="R58" s="53"/>
      <c r="S58" s="62"/>
      <c r="T58" s="65"/>
      <c r="U58" s="66"/>
      <c r="V58" s="66"/>
      <c r="W58" s="206"/>
      <c r="X58" s="62"/>
      <c r="Y58" s="63"/>
      <c r="Z58" s="63"/>
      <c r="AA58" s="63"/>
    </row>
    <row r="59" spans="1:27" s="44" customFormat="1" ht="15.75" customHeight="1">
      <c r="A59" s="74" t="s">
        <v>45</v>
      </c>
      <c r="B59" s="218"/>
      <c r="C59" s="69" t="s">
        <v>165</v>
      </c>
      <c r="D59" s="70" t="s">
        <v>166</v>
      </c>
      <c r="E59" s="159">
        <v>1</v>
      </c>
      <c r="F59" s="204" t="b">
        <v>0</v>
      </c>
      <c r="G59" s="166">
        <v>1.43</v>
      </c>
      <c r="H59" s="60">
        <v>0.48</v>
      </c>
      <c r="I59" s="59" t="s">
        <v>130</v>
      </c>
      <c r="J59" s="59" t="s">
        <v>131</v>
      </c>
      <c r="K59" s="60">
        <v>1.43</v>
      </c>
      <c r="L59" s="60">
        <v>0.48</v>
      </c>
      <c r="M59" s="83">
        <f t="shared" si="19"/>
        <v>0.6863999999999999</v>
      </c>
      <c r="N59" s="92" t="str">
        <f t="shared" ref="N59:N60" si="25">A59&amp;D59</f>
        <v>ECO RJtest_cielo</v>
      </c>
      <c r="O59" s="114"/>
      <c r="P59" s="97"/>
      <c r="Q59" s="191"/>
      <c r="R59" s="53"/>
      <c r="S59" s="62"/>
      <c r="T59" s="65"/>
      <c r="U59" s="66"/>
      <c r="V59" s="66"/>
      <c r="W59" s="189"/>
      <c r="X59" s="62"/>
      <c r="Y59" s="63"/>
      <c r="Z59" s="63"/>
      <c r="AA59" s="63"/>
    </row>
    <row r="60" spans="1:27" s="44" customFormat="1" ht="15.75" customHeight="1">
      <c r="A60" s="74" t="s">
        <v>45</v>
      </c>
      <c r="B60" s="218"/>
      <c r="C60" s="69" t="s">
        <v>167</v>
      </c>
      <c r="D60" s="70" t="s">
        <v>168</v>
      </c>
      <c r="E60" s="159">
        <v>1</v>
      </c>
      <c r="F60" s="204" t="b">
        <v>0</v>
      </c>
      <c r="G60" s="166">
        <v>8.3000000000000007</v>
      </c>
      <c r="H60" s="60">
        <v>2.2999999999999998</v>
      </c>
      <c r="I60" s="59" t="s">
        <v>49</v>
      </c>
      <c r="J60" s="59" t="s">
        <v>50</v>
      </c>
      <c r="K60" s="60">
        <f>G60+0.06</f>
        <v>8.3600000000000012</v>
      </c>
      <c r="L60" s="60">
        <f>H60+0.06</f>
        <v>2.36</v>
      </c>
      <c r="M60" s="83">
        <f t="shared" si="19"/>
        <v>19.729600000000001</v>
      </c>
      <c r="N60" s="92" t="str">
        <f t="shared" si="25"/>
        <v>ECO RJbk_cielo</v>
      </c>
      <c r="O60" s="114"/>
      <c r="P60" s="97"/>
      <c r="Q60" s="191"/>
      <c r="R60" s="53"/>
      <c r="S60" s="62"/>
      <c r="T60" s="65"/>
      <c r="U60" s="66"/>
      <c r="V60" s="66"/>
      <c r="W60" s="189"/>
      <c r="X60" s="62"/>
      <c r="Y60" s="63"/>
      <c r="Z60" s="63"/>
      <c r="AA60" s="63"/>
    </row>
    <row r="61" spans="1:27" s="63" customFormat="1" ht="15.75">
      <c r="A61" s="74" t="s">
        <v>45</v>
      </c>
      <c r="B61" s="218"/>
      <c r="C61" s="69" t="s">
        <v>169</v>
      </c>
      <c r="D61" s="70" t="s">
        <v>166</v>
      </c>
      <c r="E61" s="159">
        <v>1</v>
      </c>
      <c r="F61" s="204" t="b">
        <v>0</v>
      </c>
      <c r="G61" s="166">
        <v>1.43</v>
      </c>
      <c r="H61" s="60">
        <v>0.48</v>
      </c>
      <c r="I61" s="59" t="s">
        <v>130</v>
      </c>
      <c r="J61" s="59" t="s">
        <v>131</v>
      </c>
      <c r="K61" s="60">
        <v>1.43</v>
      </c>
      <c r="L61" s="60">
        <v>0.48</v>
      </c>
      <c r="M61" s="83">
        <f t="shared" ref="M61:M62" si="26">L61*K61*E61</f>
        <v>0.6863999999999999</v>
      </c>
      <c r="N61" s="92" t="str">
        <f t="shared" si="0"/>
        <v>ECO RJtest_cielo</v>
      </c>
      <c r="O61" s="114"/>
      <c r="P61" s="97"/>
      <c r="Q61" s="191"/>
      <c r="R61" s="53"/>
      <c r="S61" s="62"/>
      <c r="T61" s="65"/>
      <c r="U61" s="66"/>
      <c r="V61" s="66"/>
      <c r="W61" s="62"/>
      <c r="X61" s="62"/>
    </row>
    <row r="62" spans="1:27" s="63" customFormat="1" ht="15.75">
      <c r="A62" s="74" t="s">
        <v>45</v>
      </c>
      <c r="B62" s="218"/>
      <c r="C62" s="69" t="s">
        <v>170</v>
      </c>
      <c r="D62" s="70" t="s">
        <v>168</v>
      </c>
      <c r="E62" s="159">
        <v>1</v>
      </c>
      <c r="F62" s="204" t="b">
        <v>0</v>
      </c>
      <c r="G62" s="166">
        <v>8.3000000000000007</v>
      </c>
      <c r="H62" s="60">
        <v>2.2999999999999998</v>
      </c>
      <c r="I62" s="59" t="s">
        <v>49</v>
      </c>
      <c r="J62" s="59" t="s">
        <v>50</v>
      </c>
      <c r="K62" s="60">
        <f>G62+0.06</f>
        <v>8.3600000000000012</v>
      </c>
      <c r="L62" s="60">
        <f>H62+0.06</f>
        <v>2.36</v>
      </c>
      <c r="M62" s="83">
        <f t="shared" si="26"/>
        <v>19.729600000000001</v>
      </c>
      <c r="N62" s="92" t="str">
        <f t="shared" si="0"/>
        <v>ECO RJbk_cielo</v>
      </c>
      <c r="O62" s="114"/>
      <c r="P62" s="97"/>
      <c r="Q62" s="191"/>
      <c r="R62" s="53"/>
      <c r="S62" s="62"/>
      <c r="T62" s="65"/>
      <c r="U62" s="66"/>
      <c r="V62" s="66"/>
      <c r="W62" s="62"/>
      <c r="X62" s="62"/>
    </row>
    <row r="63" spans="1:27" s="63" customFormat="1" ht="15.75">
      <c r="A63" s="74" t="s">
        <v>45</v>
      </c>
      <c r="B63" s="219" t="s">
        <v>171</v>
      </c>
      <c r="C63" s="69" t="s">
        <v>172</v>
      </c>
      <c r="D63" s="70" t="s">
        <v>173</v>
      </c>
      <c r="E63" s="159">
        <v>1</v>
      </c>
      <c r="F63" s="204" t="b">
        <v>0</v>
      </c>
      <c r="G63" s="166">
        <v>0.96</v>
      </c>
      <c r="H63" s="60">
        <v>1.96</v>
      </c>
      <c r="I63" s="59" t="s">
        <v>49</v>
      </c>
      <c r="J63" s="59" t="s">
        <v>50</v>
      </c>
      <c r="K63" s="60">
        <v>0.96</v>
      </c>
      <c r="L63" s="60">
        <v>1.96</v>
      </c>
      <c r="M63" s="83">
        <f t="shared" si="19"/>
        <v>1.8815999999999999</v>
      </c>
      <c r="N63" s="92" t="str">
        <f t="shared" si="0"/>
        <v>ECO RJkm_1</v>
      </c>
      <c r="O63" s="99"/>
      <c r="P63" s="100"/>
      <c r="Q63" s="60"/>
      <c r="R63" s="53"/>
      <c r="S63" s="62"/>
      <c r="T63" s="62"/>
      <c r="U63" s="62"/>
      <c r="V63" s="62"/>
      <c r="W63" s="62"/>
      <c r="X63" s="62"/>
    </row>
    <row r="64" spans="1:27" s="63" customFormat="1" ht="15.75">
      <c r="A64" s="74" t="s">
        <v>45</v>
      </c>
      <c r="B64" s="219"/>
      <c r="C64" s="69" t="s">
        <v>174</v>
      </c>
      <c r="D64" s="70" t="s">
        <v>175</v>
      </c>
      <c r="E64" s="159">
        <v>1</v>
      </c>
      <c r="F64" s="204" t="b">
        <v>0</v>
      </c>
      <c r="G64" s="166">
        <v>0.96</v>
      </c>
      <c r="H64" s="60">
        <v>1.96</v>
      </c>
      <c r="I64" s="59" t="s">
        <v>49</v>
      </c>
      <c r="J64" s="59" t="s">
        <v>50</v>
      </c>
      <c r="K64" s="60">
        <v>0.96</v>
      </c>
      <c r="L64" s="60">
        <v>1.96</v>
      </c>
      <c r="M64" s="83">
        <f t="shared" si="19"/>
        <v>1.8815999999999999</v>
      </c>
      <c r="N64" s="92" t="str">
        <f t="shared" si="0"/>
        <v>ECO RJkm_2</v>
      </c>
      <c r="O64" s="99"/>
      <c r="P64" s="100"/>
      <c r="Q64" s="60"/>
      <c r="R64" s="53"/>
      <c r="S64" s="62"/>
      <c r="T64" s="62"/>
      <c r="U64" s="62"/>
      <c r="V64" s="62"/>
      <c r="W64" s="62"/>
      <c r="X64" s="62"/>
    </row>
    <row r="65" spans="1:1025" s="63" customFormat="1" ht="15.75" customHeight="1">
      <c r="A65" s="74" t="s">
        <v>45</v>
      </c>
      <c r="B65" s="219"/>
      <c r="C65" s="69" t="s">
        <v>176</v>
      </c>
      <c r="D65" s="70" t="s">
        <v>177</v>
      </c>
      <c r="E65" s="159">
        <v>1</v>
      </c>
      <c r="F65" s="204" t="b">
        <v>0</v>
      </c>
      <c r="G65" s="166">
        <v>0.96</v>
      </c>
      <c r="H65" s="60">
        <v>1.96</v>
      </c>
      <c r="I65" s="59" t="s">
        <v>49</v>
      </c>
      <c r="J65" s="59" t="s">
        <v>50</v>
      </c>
      <c r="K65" s="60">
        <v>0.96</v>
      </c>
      <c r="L65" s="60">
        <v>1.96</v>
      </c>
      <c r="M65" s="83">
        <f t="shared" si="19"/>
        <v>1.8815999999999999</v>
      </c>
      <c r="N65" s="92" t="str">
        <f t="shared" si="0"/>
        <v>ECO RJkm_3</v>
      </c>
      <c r="O65" s="99"/>
      <c r="P65" s="100"/>
      <c r="Q65" s="60"/>
      <c r="R65" s="53"/>
      <c r="S65" s="62"/>
      <c r="T65" s="62"/>
      <c r="U65" s="62"/>
      <c r="V65" s="62"/>
      <c r="W65" s="62"/>
      <c r="X65" s="62"/>
    </row>
    <row r="66" spans="1:1025" s="63" customFormat="1" ht="15.75" customHeight="1">
      <c r="A66" s="74" t="s">
        <v>45</v>
      </c>
      <c r="B66" s="219"/>
      <c r="C66" s="69" t="s">
        <v>178</v>
      </c>
      <c r="D66" s="70" t="s">
        <v>179</v>
      </c>
      <c r="E66" s="159">
        <v>1</v>
      </c>
      <c r="F66" s="204" t="b">
        <v>0</v>
      </c>
      <c r="G66" s="166">
        <v>0.96</v>
      </c>
      <c r="H66" s="60">
        <v>1.96</v>
      </c>
      <c r="I66" s="59" t="s">
        <v>49</v>
      </c>
      <c r="J66" s="59" t="s">
        <v>50</v>
      </c>
      <c r="K66" s="60">
        <v>0.96</v>
      </c>
      <c r="L66" s="60">
        <v>1.96</v>
      </c>
      <c r="M66" s="83">
        <f t="shared" si="19"/>
        <v>1.8815999999999999</v>
      </c>
      <c r="N66" s="92" t="str">
        <f t="shared" si="0"/>
        <v>ECO RJkm_4</v>
      </c>
      <c r="O66" s="99"/>
      <c r="P66" s="100"/>
      <c r="Q66" s="60"/>
      <c r="R66" s="53"/>
      <c r="S66" s="62"/>
      <c r="T66" s="62"/>
      <c r="U66" s="62"/>
      <c r="V66" s="62"/>
      <c r="W66" s="62"/>
      <c r="X66" s="62"/>
    </row>
    <row r="67" spans="1:1025" s="63" customFormat="1" ht="15.75" customHeight="1">
      <c r="A67" s="74" t="s">
        <v>45</v>
      </c>
      <c r="B67" s="219"/>
      <c r="C67" s="69" t="s">
        <v>180</v>
      </c>
      <c r="D67" s="70" t="s">
        <v>181</v>
      </c>
      <c r="E67" s="159">
        <v>1</v>
      </c>
      <c r="F67" s="204" t="b">
        <v>0</v>
      </c>
      <c r="G67" s="166">
        <v>0.96</v>
      </c>
      <c r="H67" s="60">
        <v>1.96</v>
      </c>
      <c r="I67" s="59" t="s">
        <v>49</v>
      </c>
      <c r="J67" s="59" t="s">
        <v>50</v>
      </c>
      <c r="K67" s="60">
        <v>0.96</v>
      </c>
      <c r="L67" s="60">
        <v>1.96</v>
      </c>
      <c r="M67" s="83">
        <f t="shared" si="19"/>
        <v>1.8815999999999999</v>
      </c>
      <c r="N67" s="92" t="str">
        <f t="shared" si="0"/>
        <v>ECO RJkm_5</v>
      </c>
      <c r="O67" s="99"/>
      <c r="P67" s="100"/>
      <c r="Q67" s="60"/>
      <c r="R67" s="53"/>
      <c r="S67" s="62"/>
      <c r="T67" s="62"/>
      <c r="U67" s="62"/>
      <c r="V67" s="62"/>
      <c r="W67" s="62"/>
      <c r="X67" s="62"/>
    </row>
    <row r="68" spans="1:1025" s="63" customFormat="1" ht="15.75" customHeight="1">
      <c r="A68" s="74" t="s">
        <v>45</v>
      </c>
      <c r="B68" s="219"/>
      <c r="C68" s="69" t="s">
        <v>182</v>
      </c>
      <c r="D68" s="70" t="s">
        <v>183</v>
      </c>
      <c r="E68" s="159">
        <v>1</v>
      </c>
      <c r="F68" s="204" t="b">
        <v>0</v>
      </c>
      <c r="G68" s="166">
        <v>0.96</v>
      </c>
      <c r="H68" s="60">
        <v>1.96</v>
      </c>
      <c r="I68" s="59" t="s">
        <v>49</v>
      </c>
      <c r="J68" s="59" t="s">
        <v>50</v>
      </c>
      <c r="K68" s="60">
        <v>0.96</v>
      </c>
      <c r="L68" s="60">
        <v>1.96</v>
      </c>
      <c r="M68" s="83">
        <f t="shared" si="19"/>
        <v>1.8815999999999999</v>
      </c>
      <c r="N68" s="92" t="str">
        <f t="shared" si="0"/>
        <v>ECO RJkm_6</v>
      </c>
      <c r="O68" s="99"/>
      <c r="P68" s="100"/>
      <c r="Q68" s="60"/>
      <c r="R68" s="53"/>
      <c r="S68" s="62"/>
      <c r="T68" s="62"/>
      <c r="U68" s="62"/>
      <c r="V68" s="62"/>
      <c r="W68" s="62"/>
      <c r="X68" s="62"/>
    </row>
    <row r="69" spans="1:1025" s="63" customFormat="1" ht="15.75" customHeight="1">
      <c r="A69" s="74" t="s">
        <v>45</v>
      </c>
      <c r="B69" s="219"/>
      <c r="C69" s="69" t="s">
        <v>184</v>
      </c>
      <c r="D69" s="70" t="s">
        <v>185</v>
      </c>
      <c r="E69" s="159">
        <v>1</v>
      </c>
      <c r="F69" s="204" t="b">
        <v>0</v>
      </c>
      <c r="G69" s="166">
        <v>0.96</v>
      </c>
      <c r="H69" s="60">
        <v>1.96</v>
      </c>
      <c r="I69" s="59" t="s">
        <v>49</v>
      </c>
      <c r="J69" s="59" t="s">
        <v>50</v>
      </c>
      <c r="K69" s="60">
        <v>0.96</v>
      </c>
      <c r="L69" s="60">
        <v>1.96</v>
      </c>
      <c r="M69" s="83">
        <f t="shared" si="19"/>
        <v>1.8815999999999999</v>
      </c>
      <c r="N69" s="92" t="str">
        <f t="shared" si="0"/>
        <v>ECO RJkm_7</v>
      </c>
      <c r="O69" s="99"/>
      <c r="P69" s="100"/>
      <c r="Q69" s="60"/>
      <c r="R69" s="53"/>
      <c r="S69" s="62"/>
      <c r="T69" s="62"/>
      <c r="U69" s="62"/>
      <c r="V69" s="62"/>
      <c r="W69" s="62"/>
      <c r="X69" s="62"/>
    </row>
    <row r="70" spans="1:1025" s="62" customFormat="1" ht="15.75">
      <c r="A70" s="74" t="s">
        <v>45</v>
      </c>
      <c r="B70" s="219"/>
      <c r="C70" s="69" t="s">
        <v>186</v>
      </c>
      <c r="D70" s="70" t="s">
        <v>187</v>
      </c>
      <c r="E70" s="159">
        <v>1</v>
      </c>
      <c r="F70" s="204" t="b">
        <v>0</v>
      </c>
      <c r="G70" s="166">
        <v>0.96</v>
      </c>
      <c r="H70" s="60">
        <v>1.96</v>
      </c>
      <c r="I70" s="59" t="s">
        <v>49</v>
      </c>
      <c r="J70" s="59" t="s">
        <v>50</v>
      </c>
      <c r="K70" s="60">
        <v>0.96</v>
      </c>
      <c r="L70" s="60">
        <v>1.96</v>
      </c>
      <c r="M70" s="83">
        <f t="shared" si="19"/>
        <v>1.8815999999999999</v>
      </c>
      <c r="N70" s="92" t="str">
        <f t="shared" si="0"/>
        <v>ECO RJkm_8</v>
      </c>
      <c r="O70" s="99"/>
      <c r="P70" s="100"/>
      <c r="Q70" s="60"/>
      <c r="R70" s="53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  <c r="QI70" s="64"/>
      <c r="QJ70" s="64"/>
      <c r="QK70" s="64"/>
      <c r="QL70" s="64"/>
      <c r="QM70" s="64"/>
      <c r="QN70" s="64"/>
      <c r="QO70" s="64"/>
      <c r="QP70" s="64"/>
      <c r="QQ70" s="64"/>
      <c r="QR70" s="64"/>
      <c r="QS70" s="64"/>
      <c r="QT70" s="64"/>
      <c r="QU70" s="64"/>
      <c r="QV70" s="64"/>
      <c r="QW70" s="64"/>
      <c r="QX70" s="64"/>
      <c r="QY70" s="64"/>
      <c r="QZ70" s="64"/>
      <c r="RA70" s="64"/>
      <c r="RB70" s="64"/>
      <c r="RC70" s="64"/>
      <c r="RD70" s="64"/>
      <c r="RE70" s="64"/>
      <c r="RF70" s="64"/>
      <c r="RG70" s="64"/>
      <c r="RH70" s="64"/>
      <c r="RI70" s="64"/>
      <c r="RJ70" s="64"/>
      <c r="RK70" s="64"/>
      <c r="RL70" s="64"/>
      <c r="RM70" s="64"/>
      <c r="RN70" s="64"/>
      <c r="RO70" s="64"/>
      <c r="RP70" s="64"/>
      <c r="RQ70" s="64"/>
      <c r="RR70" s="64"/>
      <c r="RS70" s="64"/>
      <c r="RT70" s="64"/>
      <c r="RU70" s="64"/>
      <c r="RV70" s="64"/>
      <c r="RW70" s="64"/>
      <c r="RX70" s="64"/>
      <c r="RY70" s="64"/>
      <c r="RZ70" s="64"/>
      <c r="SA70" s="64"/>
      <c r="SB70" s="64"/>
      <c r="SC70" s="64"/>
      <c r="SD70" s="64"/>
      <c r="SE70" s="64"/>
      <c r="SF70" s="64"/>
      <c r="SG70" s="64"/>
      <c r="SH70" s="64"/>
      <c r="SI70" s="64"/>
      <c r="SJ70" s="64"/>
      <c r="SK70" s="64"/>
      <c r="SL70" s="64"/>
      <c r="SM70" s="64"/>
      <c r="SN70" s="64"/>
      <c r="SO70" s="64"/>
      <c r="SP70" s="64"/>
      <c r="SQ70" s="64"/>
      <c r="SR70" s="64"/>
      <c r="SS70" s="64"/>
      <c r="ST70" s="64"/>
      <c r="SU70" s="64"/>
      <c r="SV70" s="64"/>
      <c r="SW70" s="64"/>
      <c r="SX70" s="64"/>
      <c r="SY70" s="64"/>
      <c r="SZ70" s="64"/>
      <c r="TA70" s="64"/>
      <c r="TB70" s="64"/>
      <c r="TC70" s="64"/>
      <c r="TD70" s="64"/>
      <c r="TE70" s="64"/>
      <c r="TF70" s="64"/>
      <c r="TG70" s="64"/>
      <c r="TH70" s="64"/>
      <c r="TI70" s="64"/>
      <c r="TJ70" s="64"/>
      <c r="TK70" s="64"/>
      <c r="TL70" s="64"/>
      <c r="TM70" s="64"/>
      <c r="TN70" s="64"/>
      <c r="TO70" s="64"/>
      <c r="TP70" s="64"/>
      <c r="TQ70" s="64"/>
      <c r="TR70" s="64"/>
      <c r="TS70" s="64"/>
      <c r="TT70" s="64"/>
      <c r="TU70" s="64"/>
      <c r="TV70" s="64"/>
      <c r="TW70" s="64"/>
      <c r="TX70" s="64"/>
      <c r="TY70" s="64"/>
      <c r="TZ70" s="64"/>
      <c r="UA70" s="64"/>
      <c r="UB70" s="64"/>
      <c r="UC70" s="64"/>
      <c r="UD70" s="64"/>
      <c r="UE70" s="64"/>
      <c r="UF70" s="64"/>
      <c r="UG70" s="64"/>
      <c r="UH70" s="64"/>
      <c r="UI70" s="64"/>
      <c r="UJ70" s="64"/>
      <c r="UK70" s="64"/>
      <c r="UL70" s="64"/>
      <c r="UM70" s="64"/>
      <c r="UN70" s="64"/>
      <c r="UO70" s="64"/>
      <c r="UP70" s="64"/>
      <c r="UQ70" s="64"/>
      <c r="UR70" s="64"/>
      <c r="US70" s="64"/>
      <c r="UT70" s="64"/>
      <c r="UU70" s="64"/>
      <c r="UV70" s="64"/>
      <c r="UW70" s="64"/>
      <c r="UX70" s="64"/>
      <c r="UY70" s="64"/>
      <c r="UZ70" s="64"/>
      <c r="VA70" s="64"/>
      <c r="VB70" s="64"/>
      <c r="VC70" s="64"/>
      <c r="VD70" s="64"/>
      <c r="VE70" s="64"/>
      <c r="VF70" s="64"/>
      <c r="VG70" s="64"/>
      <c r="VH70" s="64"/>
      <c r="VI70" s="64"/>
      <c r="VJ70" s="64"/>
      <c r="VK70" s="64"/>
      <c r="VL70" s="64"/>
      <c r="VM70" s="64"/>
      <c r="VN70" s="64"/>
      <c r="VO70" s="64"/>
      <c r="VP70" s="64"/>
      <c r="VQ70" s="64"/>
      <c r="VR70" s="64"/>
      <c r="VS70" s="64"/>
      <c r="VT70" s="64"/>
      <c r="VU70" s="64"/>
      <c r="VV70" s="64"/>
      <c r="VW70" s="64"/>
      <c r="VX70" s="64"/>
      <c r="VY70" s="64"/>
      <c r="VZ70" s="64"/>
      <c r="WA70" s="64"/>
      <c r="WB70" s="64"/>
      <c r="WC70" s="64"/>
      <c r="WD70" s="64"/>
      <c r="WE70" s="64"/>
      <c r="WF70" s="64"/>
      <c r="WG70" s="64"/>
      <c r="WH70" s="64"/>
      <c r="WI70" s="64"/>
      <c r="WJ70" s="64"/>
      <c r="WK70" s="64"/>
      <c r="WL70" s="64"/>
      <c r="WM70" s="64"/>
      <c r="WN70" s="64"/>
      <c r="WO70" s="64"/>
      <c r="WP70" s="64"/>
      <c r="WQ70" s="64"/>
      <c r="WR70" s="64"/>
      <c r="WS70" s="64"/>
      <c r="WT70" s="64"/>
      <c r="WU70" s="64"/>
      <c r="WV70" s="64"/>
      <c r="WW70" s="64"/>
      <c r="WX70" s="64"/>
      <c r="WY70" s="64"/>
      <c r="WZ70" s="64"/>
      <c r="XA70" s="64"/>
      <c r="XB70" s="64"/>
      <c r="XC70" s="64"/>
      <c r="XD70" s="64"/>
      <c r="XE70" s="64"/>
      <c r="XF70" s="64"/>
      <c r="XG70" s="64"/>
      <c r="XH70" s="64"/>
      <c r="XI70" s="64"/>
      <c r="XJ70" s="64"/>
      <c r="XK70" s="64"/>
      <c r="XL70" s="64"/>
      <c r="XM70" s="64"/>
      <c r="XN70" s="64"/>
      <c r="XO70" s="64"/>
      <c r="XP70" s="64"/>
      <c r="XQ70" s="64"/>
      <c r="XR70" s="64"/>
      <c r="XS70" s="64"/>
      <c r="XT70" s="64"/>
      <c r="XU70" s="64"/>
      <c r="XV70" s="64"/>
      <c r="XW70" s="64"/>
      <c r="XX70" s="64"/>
      <c r="XY70" s="64"/>
      <c r="XZ70" s="64"/>
      <c r="YA70" s="64"/>
      <c r="YB70" s="64"/>
      <c r="YC70" s="64"/>
      <c r="YD70" s="64"/>
      <c r="YE70" s="64"/>
      <c r="YF70" s="64"/>
      <c r="YG70" s="64"/>
      <c r="YH70" s="64"/>
      <c r="YI70" s="64"/>
      <c r="YJ70" s="64"/>
      <c r="YK70" s="64"/>
      <c r="YL70" s="64"/>
      <c r="YM70" s="64"/>
      <c r="YN70" s="64"/>
      <c r="YO70" s="64"/>
      <c r="YP70" s="64"/>
      <c r="YQ70" s="64"/>
      <c r="YR70" s="64"/>
      <c r="YS70" s="64"/>
      <c r="YT70" s="64"/>
      <c r="YU70" s="64"/>
      <c r="YV70" s="64"/>
      <c r="YW70" s="64"/>
      <c r="YX70" s="64"/>
      <c r="YY70" s="64"/>
      <c r="YZ70" s="64"/>
      <c r="ZA70" s="64"/>
      <c r="ZB70" s="64"/>
      <c r="ZC70" s="64"/>
      <c r="ZD70" s="64"/>
      <c r="ZE70" s="64"/>
      <c r="ZF70" s="64"/>
      <c r="ZG70" s="64"/>
      <c r="ZH70" s="64"/>
      <c r="ZI70" s="64"/>
      <c r="ZJ70" s="64"/>
      <c r="ZK70" s="64"/>
      <c r="ZL70" s="64"/>
      <c r="ZM70" s="64"/>
      <c r="ZN70" s="64"/>
      <c r="ZO70" s="64"/>
      <c r="ZP70" s="64"/>
      <c r="ZQ70" s="64"/>
      <c r="ZR70" s="64"/>
      <c r="ZS70" s="64"/>
      <c r="ZT70" s="64"/>
      <c r="ZU70" s="64"/>
      <c r="ZV70" s="64"/>
      <c r="ZW70" s="64"/>
      <c r="ZX70" s="64"/>
      <c r="ZY70" s="64"/>
      <c r="ZZ70" s="64"/>
      <c r="AAA70" s="64"/>
      <c r="AAB70" s="64"/>
      <c r="AAC70" s="64"/>
      <c r="AAD70" s="64"/>
      <c r="AAE70" s="64"/>
      <c r="AAF70" s="64"/>
      <c r="AAG70" s="64"/>
      <c r="AAH70" s="64"/>
      <c r="AAI70" s="64"/>
      <c r="AAJ70" s="64"/>
      <c r="AAK70" s="64"/>
      <c r="AAL70" s="64"/>
      <c r="AAM70" s="64"/>
      <c r="AAN70" s="64"/>
      <c r="AAO70" s="64"/>
      <c r="AAP70" s="64"/>
      <c r="AAQ70" s="64"/>
      <c r="AAR70" s="64"/>
      <c r="AAS70" s="64"/>
      <c r="AAT70" s="64"/>
      <c r="AAU70" s="64"/>
      <c r="AAV70" s="64"/>
      <c r="AAW70" s="64"/>
      <c r="AAX70" s="64"/>
      <c r="AAY70" s="64"/>
      <c r="AAZ70" s="64"/>
      <c r="ABA70" s="64"/>
      <c r="ABB70" s="64"/>
      <c r="ABC70" s="64"/>
      <c r="ABD70" s="64"/>
      <c r="ABE70" s="64"/>
      <c r="ABF70" s="64"/>
      <c r="ABG70" s="64"/>
      <c r="ABH70" s="64"/>
      <c r="ABI70" s="64"/>
      <c r="ABJ70" s="64"/>
      <c r="ABK70" s="64"/>
      <c r="ABL70" s="64"/>
      <c r="ABM70" s="64"/>
      <c r="ABN70" s="64"/>
      <c r="ABO70" s="64"/>
      <c r="ABP70" s="64"/>
      <c r="ABQ70" s="64"/>
      <c r="ABR70" s="64"/>
      <c r="ABS70" s="64"/>
      <c r="ABT70" s="64"/>
      <c r="ABU70" s="64"/>
      <c r="ABV70" s="64"/>
      <c r="ABW70" s="64"/>
      <c r="ABX70" s="64"/>
      <c r="ABY70" s="64"/>
      <c r="ABZ70" s="64"/>
      <c r="ACA70" s="64"/>
      <c r="ACB70" s="64"/>
      <c r="ACC70" s="64"/>
      <c r="ACD70" s="64"/>
      <c r="ACE70" s="64"/>
      <c r="ACF70" s="64"/>
      <c r="ACG70" s="64"/>
      <c r="ACH70" s="64"/>
      <c r="ACI70" s="64"/>
      <c r="ACJ70" s="64"/>
      <c r="ACK70" s="64"/>
      <c r="ACL70" s="64"/>
      <c r="ACM70" s="64"/>
      <c r="ACN70" s="64"/>
      <c r="ACO70" s="64"/>
      <c r="ACP70" s="64"/>
      <c r="ACQ70" s="64"/>
      <c r="ACR70" s="64"/>
      <c r="ACS70" s="64"/>
      <c r="ACT70" s="64"/>
      <c r="ACU70" s="64"/>
      <c r="ACV70" s="64"/>
      <c r="ACW70" s="64"/>
      <c r="ACX70" s="64"/>
      <c r="ACY70" s="64"/>
      <c r="ACZ70" s="64"/>
      <c r="ADA70" s="64"/>
      <c r="ADB70" s="64"/>
      <c r="ADC70" s="64"/>
      <c r="ADD70" s="64"/>
      <c r="ADE70" s="64"/>
      <c r="ADF70" s="64"/>
      <c r="ADG70" s="64"/>
      <c r="ADH70" s="64"/>
      <c r="ADI70" s="64"/>
      <c r="ADJ70" s="64"/>
      <c r="ADK70" s="64"/>
      <c r="ADL70" s="64"/>
      <c r="ADM70" s="64"/>
      <c r="ADN70" s="64"/>
      <c r="ADO70" s="64"/>
      <c r="ADP70" s="64"/>
      <c r="ADQ70" s="64"/>
      <c r="ADR70" s="64"/>
      <c r="ADS70" s="64"/>
      <c r="ADT70" s="64"/>
      <c r="ADU70" s="64"/>
      <c r="ADV70" s="64"/>
      <c r="ADW70" s="64"/>
      <c r="ADX70" s="64"/>
      <c r="ADY70" s="64"/>
      <c r="ADZ70" s="64"/>
      <c r="AEA70" s="64"/>
      <c r="AEB70" s="64"/>
      <c r="AEC70" s="64"/>
      <c r="AED70" s="64"/>
      <c r="AEE70" s="64"/>
      <c r="AEF70" s="64"/>
      <c r="AEG70" s="64"/>
      <c r="AEH70" s="64"/>
      <c r="AEI70" s="64"/>
      <c r="AEJ70" s="64"/>
      <c r="AEK70" s="64"/>
      <c r="AEL70" s="64"/>
      <c r="AEM70" s="64"/>
      <c r="AEN70" s="64"/>
      <c r="AEO70" s="64"/>
      <c r="AEP70" s="64"/>
      <c r="AEQ70" s="64"/>
      <c r="AER70" s="64"/>
      <c r="AES70" s="64"/>
      <c r="AET70" s="64"/>
      <c r="AEU70" s="64"/>
      <c r="AEV70" s="64"/>
      <c r="AEW70" s="64"/>
      <c r="AEX70" s="64"/>
      <c r="AEY70" s="64"/>
      <c r="AEZ70" s="64"/>
      <c r="AFA70" s="64"/>
      <c r="AFB70" s="64"/>
      <c r="AFC70" s="64"/>
      <c r="AFD70" s="64"/>
      <c r="AFE70" s="64"/>
      <c r="AFF70" s="64"/>
      <c r="AFG70" s="64"/>
      <c r="AFH70" s="64"/>
      <c r="AFI70" s="64"/>
      <c r="AFJ70" s="64"/>
      <c r="AFK70" s="64"/>
      <c r="AFL70" s="64"/>
      <c r="AFM70" s="64"/>
      <c r="AFN70" s="64"/>
      <c r="AFO70" s="64"/>
      <c r="AFP70" s="64"/>
      <c r="AFQ70" s="64"/>
      <c r="AFR70" s="64"/>
      <c r="AFS70" s="64"/>
      <c r="AFT70" s="64"/>
      <c r="AFU70" s="64"/>
      <c r="AFV70" s="64"/>
      <c r="AFW70" s="64"/>
      <c r="AFX70" s="64"/>
      <c r="AFY70" s="64"/>
      <c r="AFZ70" s="64"/>
      <c r="AGA70" s="64"/>
      <c r="AGB70" s="64"/>
      <c r="AGC70" s="64"/>
      <c r="AGD70" s="64"/>
      <c r="AGE70" s="64"/>
      <c r="AGF70" s="64"/>
      <c r="AGG70" s="64"/>
      <c r="AGH70" s="64"/>
      <c r="AGI70" s="64"/>
      <c r="AGJ70" s="64"/>
      <c r="AGK70" s="64"/>
      <c r="AGL70" s="64"/>
      <c r="AGM70" s="64"/>
      <c r="AGN70" s="64"/>
      <c r="AGO70" s="64"/>
      <c r="AGP70" s="64"/>
      <c r="AGQ70" s="64"/>
      <c r="AGR70" s="64"/>
      <c r="AGS70" s="64"/>
      <c r="AGT70" s="64"/>
      <c r="AGU70" s="64"/>
      <c r="AGV70" s="64"/>
      <c r="AGW70" s="64"/>
      <c r="AGX70" s="64"/>
      <c r="AGY70" s="64"/>
      <c r="AGZ70" s="64"/>
      <c r="AHA70" s="64"/>
      <c r="AHB70" s="64"/>
      <c r="AHC70" s="64"/>
      <c r="AHD70" s="64"/>
      <c r="AHE70" s="64"/>
      <c r="AHF70" s="64"/>
      <c r="AHG70" s="64"/>
      <c r="AHH70" s="64"/>
      <c r="AHI70" s="64"/>
      <c r="AHJ70" s="64"/>
      <c r="AHK70" s="64"/>
      <c r="AHL70" s="64"/>
      <c r="AHM70" s="64"/>
      <c r="AHN70" s="64"/>
      <c r="AHO70" s="64"/>
      <c r="AHP70" s="64"/>
      <c r="AHQ70" s="64"/>
      <c r="AHR70" s="64"/>
      <c r="AHS70" s="64"/>
      <c r="AHT70" s="64"/>
      <c r="AHU70" s="64"/>
      <c r="AHV70" s="64"/>
      <c r="AHW70" s="64"/>
      <c r="AHX70" s="64"/>
      <c r="AHY70" s="64"/>
      <c r="AHZ70" s="64"/>
      <c r="AIA70" s="64"/>
      <c r="AIB70" s="64"/>
      <c r="AIC70" s="64"/>
      <c r="AID70" s="64"/>
      <c r="AIE70" s="64"/>
      <c r="AIF70" s="64"/>
      <c r="AIG70" s="64"/>
      <c r="AIH70" s="64"/>
      <c r="AII70" s="64"/>
      <c r="AIJ70" s="64"/>
      <c r="AIK70" s="64"/>
      <c r="AIL70" s="64"/>
      <c r="AIM70" s="64"/>
      <c r="AIN70" s="64"/>
      <c r="AIO70" s="64"/>
      <c r="AIP70" s="64"/>
      <c r="AIQ70" s="64"/>
      <c r="AIR70" s="64"/>
      <c r="AIS70" s="64"/>
      <c r="AIT70" s="64"/>
      <c r="AIU70" s="64"/>
      <c r="AIV70" s="64"/>
      <c r="AIW70" s="64"/>
      <c r="AIX70" s="64"/>
      <c r="AIY70" s="64"/>
      <c r="AIZ70" s="64"/>
      <c r="AJA70" s="64"/>
      <c r="AJB70" s="64"/>
      <c r="AJC70" s="64"/>
      <c r="AJD70" s="64"/>
      <c r="AJE70" s="64"/>
      <c r="AJF70" s="64"/>
      <c r="AJG70" s="64"/>
      <c r="AJH70" s="64"/>
      <c r="AJI70" s="64"/>
      <c r="AJJ70" s="64"/>
      <c r="AJK70" s="64"/>
      <c r="AJL70" s="64"/>
      <c r="AJM70" s="64"/>
      <c r="AJN70" s="64"/>
      <c r="AJO70" s="64"/>
      <c r="AJP70" s="64"/>
      <c r="AJQ70" s="64"/>
      <c r="AJR70" s="64"/>
      <c r="AJS70" s="64"/>
      <c r="AJT70" s="64"/>
      <c r="AJU70" s="64"/>
      <c r="AJV70" s="64"/>
      <c r="AJW70" s="64"/>
      <c r="AJX70" s="64"/>
      <c r="AJY70" s="64"/>
      <c r="AJZ70" s="64"/>
      <c r="AKA70" s="64"/>
      <c r="AKB70" s="64"/>
      <c r="AKC70" s="64"/>
      <c r="AKD70" s="64"/>
      <c r="AKE70" s="64"/>
      <c r="AKF70" s="64"/>
      <c r="AKG70" s="64"/>
      <c r="AKH70" s="64"/>
      <c r="AKI70" s="64"/>
      <c r="AKJ70" s="64"/>
      <c r="AKK70" s="64"/>
      <c r="AKL70" s="64"/>
      <c r="AKM70" s="64"/>
      <c r="AKN70" s="64"/>
      <c r="AKO70" s="64"/>
      <c r="AKP70" s="64"/>
      <c r="AKQ70" s="64"/>
      <c r="AKR70" s="64"/>
      <c r="AKS70" s="64"/>
      <c r="AKT70" s="64"/>
      <c r="AKU70" s="64"/>
      <c r="AKV70" s="64"/>
      <c r="AKW70" s="64"/>
      <c r="AKX70" s="64"/>
      <c r="AKY70" s="64"/>
      <c r="AKZ70" s="64"/>
      <c r="ALA70" s="64"/>
      <c r="ALB70" s="64"/>
      <c r="ALC70" s="64"/>
      <c r="ALD70" s="64"/>
      <c r="ALE70" s="64"/>
      <c r="ALF70" s="64"/>
      <c r="ALG70" s="64"/>
      <c r="ALH70" s="64"/>
      <c r="ALI70" s="64"/>
      <c r="ALJ70" s="64"/>
      <c r="ALK70" s="64"/>
      <c r="ALL70" s="64"/>
      <c r="ALM70" s="64"/>
      <c r="ALN70" s="64"/>
      <c r="ALO70" s="64"/>
      <c r="ALP70" s="64"/>
      <c r="ALQ70" s="64"/>
      <c r="ALR70" s="64"/>
      <c r="ALS70" s="64"/>
      <c r="ALT70" s="64"/>
      <c r="ALU70" s="64"/>
      <c r="ALV70" s="64"/>
      <c r="ALW70" s="64"/>
      <c r="ALX70" s="64"/>
      <c r="ALY70" s="64"/>
      <c r="ALZ70" s="64"/>
      <c r="AMA70" s="64"/>
      <c r="AMB70" s="64"/>
      <c r="AMC70" s="64"/>
      <c r="AMD70" s="64"/>
      <c r="AME70" s="64"/>
      <c r="AMF70" s="64"/>
      <c r="AMG70" s="64"/>
      <c r="AMH70" s="64"/>
      <c r="AMI70" s="64"/>
      <c r="AMJ70" s="64"/>
      <c r="AMK70" s="64"/>
    </row>
    <row r="71" spans="1:1025" s="62" customFormat="1">
      <c r="A71" s="74" t="s">
        <v>45</v>
      </c>
      <c r="B71" s="219"/>
      <c r="C71" s="69" t="s">
        <v>188</v>
      </c>
      <c r="D71" s="70" t="s">
        <v>189</v>
      </c>
      <c r="E71" s="159">
        <v>1</v>
      </c>
      <c r="F71" s="204" t="b">
        <v>0</v>
      </c>
      <c r="G71" s="166">
        <v>0.96</v>
      </c>
      <c r="H71" s="60">
        <v>1.96</v>
      </c>
      <c r="I71" s="59" t="s">
        <v>49</v>
      </c>
      <c r="J71" s="59" t="s">
        <v>50</v>
      </c>
      <c r="K71" s="60">
        <v>0.96</v>
      </c>
      <c r="L71" s="60">
        <v>1.96</v>
      </c>
      <c r="M71" s="83">
        <f t="shared" si="19"/>
        <v>1.8815999999999999</v>
      </c>
      <c r="N71" s="92" t="str">
        <f t="shared" si="0"/>
        <v>ECO RJkm_9</v>
      </c>
      <c r="O71" s="99"/>
      <c r="P71" s="100"/>
      <c r="Q71" s="60"/>
      <c r="R71" s="53"/>
    </row>
    <row r="72" spans="1:1025" s="62" customFormat="1">
      <c r="A72" s="74" t="s">
        <v>45</v>
      </c>
      <c r="B72" s="219"/>
      <c r="C72" s="69" t="s">
        <v>190</v>
      </c>
      <c r="D72" s="70" t="s">
        <v>191</v>
      </c>
      <c r="E72" s="159">
        <v>1</v>
      </c>
      <c r="F72" s="204" t="b">
        <v>0</v>
      </c>
      <c r="G72" s="166">
        <v>0.96</v>
      </c>
      <c r="H72" s="60">
        <v>1.96</v>
      </c>
      <c r="I72" s="59" t="s">
        <v>49</v>
      </c>
      <c r="J72" s="59" t="s">
        <v>50</v>
      </c>
      <c r="K72" s="60">
        <v>0.96</v>
      </c>
      <c r="L72" s="60">
        <v>1.96</v>
      </c>
      <c r="M72" s="83">
        <f t="shared" si="19"/>
        <v>1.8815999999999999</v>
      </c>
      <c r="N72" s="92" t="str">
        <f t="shared" si="0"/>
        <v>ECO RJkm_10</v>
      </c>
      <c r="O72" s="99"/>
      <c r="P72" s="100"/>
      <c r="Q72" s="60"/>
      <c r="R72" s="53"/>
    </row>
    <row r="73" spans="1:1025" s="62" customFormat="1">
      <c r="A73" s="74" t="s">
        <v>45</v>
      </c>
      <c r="B73" s="219"/>
      <c r="C73" s="69" t="s">
        <v>192</v>
      </c>
      <c r="D73" s="70" t="s">
        <v>193</v>
      </c>
      <c r="E73" s="159">
        <v>1</v>
      </c>
      <c r="F73" s="204" t="b">
        <v>0</v>
      </c>
      <c r="G73" s="166">
        <v>0.96</v>
      </c>
      <c r="H73" s="60">
        <v>1.96</v>
      </c>
      <c r="I73" s="59" t="s">
        <v>49</v>
      </c>
      <c r="J73" s="59" t="s">
        <v>50</v>
      </c>
      <c r="K73" s="60">
        <v>0.96</v>
      </c>
      <c r="L73" s="60">
        <v>1.96</v>
      </c>
      <c r="M73" s="83">
        <f>L73*K73*E73</f>
        <v>1.8815999999999999</v>
      </c>
      <c r="N73" s="92" t="str">
        <f t="shared" si="0"/>
        <v>ECO RJkm_11</v>
      </c>
      <c r="O73" s="99"/>
      <c r="P73" s="100"/>
      <c r="Q73" s="60"/>
      <c r="R73" s="53"/>
    </row>
    <row r="74" spans="1:1025" s="62" customFormat="1">
      <c r="A74" s="74" t="s">
        <v>45</v>
      </c>
      <c r="B74" s="221" t="s">
        <v>194</v>
      </c>
      <c r="C74" s="81" t="s">
        <v>195</v>
      </c>
      <c r="D74" s="58" t="s">
        <v>196</v>
      </c>
      <c r="E74" s="159">
        <v>2</v>
      </c>
      <c r="F74" s="204" t="b">
        <v>0</v>
      </c>
      <c r="G74" s="166">
        <v>0.96</v>
      </c>
      <c r="H74" s="60">
        <v>1.96</v>
      </c>
      <c r="I74" s="59" t="s">
        <v>49</v>
      </c>
      <c r="J74" s="59" t="s">
        <v>50</v>
      </c>
      <c r="K74" s="60">
        <v>0.96</v>
      </c>
      <c r="L74" s="60">
        <v>1.96</v>
      </c>
      <c r="M74" s="83">
        <f t="shared" si="19"/>
        <v>3.7631999999999999</v>
      </c>
      <c r="N74" s="92" t="str">
        <f t="shared" ref="N74:N90" si="27">A74&amp;D74</f>
        <v>ECO RJperc_1</v>
      </c>
      <c r="O74" s="99"/>
      <c r="P74" s="100"/>
      <c r="Q74" s="60"/>
      <c r="R74" s="53"/>
    </row>
    <row r="75" spans="1:1025" s="62" customFormat="1">
      <c r="A75" s="74" t="s">
        <v>45</v>
      </c>
      <c r="B75" s="222"/>
      <c r="C75" s="70" t="s">
        <v>197</v>
      </c>
      <c r="D75" s="58" t="s">
        <v>198</v>
      </c>
      <c r="E75" s="159">
        <v>1</v>
      </c>
      <c r="F75" s="204" t="b">
        <v>0</v>
      </c>
      <c r="G75" s="166">
        <v>0.96</v>
      </c>
      <c r="H75" s="60">
        <v>1.96</v>
      </c>
      <c r="I75" s="59" t="s">
        <v>49</v>
      </c>
      <c r="J75" s="59" t="s">
        <v>50</v>
      </c>
      <c r="K75" s="60">
        <v>0.96</v>
      </c>
      <c r="L75" s="60">
        <v>1.96</v>
      </c>
      <c r="M75" s="83">
        <f t="shared" si="19"/>
        <v>1.8815999999999999</v>
      </c>
      <c r="N75" s="92" t="str">
        <f t="shared" si="27"/>
        <v>ECO RJperc_2</v>
      </c>
      <c r="O75" s="99"/>
      <c r="P75" s="100"/>
      <c r="Q75" s="60"/>
      <c r="R75" s="53"/>
    </row>
    <row r="76" spans="1:1025" s="62" customFormat="1">
      <c r="A76" s="74" t="s">
        <v>45</v>
      </c>
      <c r="B76" s="222"/>
      <c r="C76" s="186"/>
      <c r="D76" s="107"/>
      <c r="E76" s="160"/>
      <c r="F76" s="204" t="b">
        <v>0</v>
      </c>
      <c r="G76" s="167"/>
      <c r="H76" s="86"/>
      <c r="I76" s="109"/>
      <c r="J76" s="109"/>
      <c r="K76" s="86"/>
      <c r="L76" s="86"/>
      <c r="M76" s="110"/>
      <c r="N76" s="92"/>
      <c r="O76" s="99"/>
      <c r="P76" s="100"/>
      <c r="Q76" s="86"/>
      <c r="R76" s="53"/>
    </row>
    <row r="77" spans="1:1025" ht="17.25" customHeight="1">
      <c r="A77" s="74" t="s">
        <v>45</v>
      </c>
      <c r="B77" s="220" t="s">
        <v>199</v>
      </c>
      <c r="C77" s="69" t="s">
        <v>200</v>
      </c>
      <c r="D77" s="69" t="s">
        <v>201</v>
      </c>
      <c r="E77" s="153">
        <v>2</v>
      </c>
      <c r="F77" s="204" t="b">
        <v>0</v>
      </c>
      <c r="G77" s="164">
        <v>3</v>
      </c>
      <c r="H77" s="67">
        <v>0.2</v>
      </c>
      <c r="I77" s="68" t="s">
        <v>49</v>
      </c>
      <c r="J77" s="108" t="s">
        <v>202</v>
      </c>
      <c r="K77" s="67">
        <v>3</v>
      </c>
      <c r="L77" s="67">
        <v>0.2</v>
      </c>
      <c r="M77" s="67">
        <f t="shared" si="19"/>
        <v>1.2000000000000002</v>
      </c>
      <c r="N77" s="92" t="str">
        <f t="shared" si="27"/>
        <v>ECO RJfx_cheg</v>
      </c>
      <c r="O77" s="99"/>
      <c r="P77" s="101"/>
      <c r="Q77" s="67"/>
    </row>
    <row r="78" spans="1:1025">
      <c r="A78" s="74" t="s">
        <v>45</v>
      </c>
      <c r="B78" s="220"/>
      <c r="C78" s="69" t="s">
        <v>203</v>
      </c>
      <c r="D78" s="69" t="s">
        <v>204</v>
      </c>
      <c r="E78" s="153">
        <v>1</v>
      </c>
      <c r="F78" s="204" t="b">
        <v>0</v>
      </c>
      <c r="G78" s="168">
        <v>7.0000000000000007E-2</v>
      </c>
      <c r="H78" s="89">
        <v>0.2</v>
      </c>
      <c r="I78" s="68" t="s">
        <v>122</v>
      </c>
      <c r="J78" s="68" t="s">
        <v>205</v>
      </c>
      <c r="K78" s="89">
        <v>7.0000000000000007E-2</v>
      </c>
      <c r="L78" s="89">
        <v>0.2</v>
      </c>
      <c r="M78" s="67"/>
      <c r="N78" s="92" t="str">
        <f t="shared" si="27"/>
        <v>ECO RJnum_podio1</v>
      </c>
      <c r="O78" s="99"/>
      <c r="P78" s="67"/>
      <c r="Q78" s="67"/>
    </row>
    <row r="79" spans="1:1025">
      <c r="A79" s="74" t="s">
        <v>45</v>
      </c>
      <c r="B79" s="220"/>
      <c r="C79" s="69" t="s">
        <v>206</v>
      </c>
      <c r="D79" s="69" t="s">
        <v>207</v>
      </c>
      <c r="E79" s="153">
        <v>1</v>
      </c>
      <c r="F79" s="204" t="b">
        <v>0</v>
      </c>
      <c r="G79" s="169">
        <v>0.12</v>
      </c>
      <c r="H79" s="90">
        <v>0.13</v>
      </c>
      <c r="I79" s="68" t="s">
        <v>122</v>
      </c>
      <c r="J79" s="68" t="s">
        <v>205</v>
      </c>
      <c r="K79" s="90">
        <v>0.12</v>
      </c>
      <c r="L79" s="90">
        <v>0.13</v>
      </c>
      <c r="M79" s="67"/>
      <c r="N79" s="92" t="str">
        <f t="shared" si="27"/>
        <v>ECO RJnum_podio2</v>
      </c>
      <c r="O79" s="99"/>
      <c r="P79" s="67"/>
      <c r="Q79" s="67"/>
    </row>
    <row r="80" spans="1:1025">
      <c r="A80" s="74" t="s">
        <v>45</v>
      </c>
      <c r="B80" s="220"/>
      <c r="C80" s="69" t="s">
        <v>208</v>
      </c>
      <c r="D80" s="69" t="s">
        <v>209</v>
      </c>
      <c r="E80" s="153">
        <v>1</v>
      </c>
      <c r="F80" s="204" t="b">
        <v>0</v>
      </c>
      <c r="G80" s="169">
        <v>0.09</v>
      </c>
      <c r="H80" s="90">
        <v>0.12</v>
      </c>
      <c r="I80" s="68" t="s">
        <v>122</v>
      </c>
      <c r="J80" s="68" t="s">
        <v>205</v>
      </c>
      <c r="K80" s="90">
        <v>0.09</v>
      </c>
      <c r="L80" s="90">
        <v>0.12</v>
      </c>
      <c r="M80" s="67"/>
      <c r="N80" s="92" t="str">
        <f t="shared" si="27"/>
        <v>ECO RJnum_podio3</v>
      </c>
      <c r="O80" s="99"/>
      <c r="P80" s="67"/>
      <c r="Q80" s="67"/>
    </row>
    <row r="81" spans="1:23" s="44" customFormat="1" ht="15.75" customHeight="1">
      <c r="A81" s="74" t="s">
        <v>45</v>
      </c>
      <c r="B81" s="220"/>
      <c r="C81" s="69" t="s">
        <v>210</v>
      </c>
      <c r="D81" s="69" t="s">
        <v>211</v>
      </c>
      <c r="E81" s="153">
        <v>8</v>
      </c>
      <c r="F81" s="204" t="b">
        <v>0</v>
      </c>
      <c r="G81" s="170">
        <v>1.45</v>
      </c>
      <c r="H81" s="78">
        <v>0.42</v>
      </c>
      <c r="I81" s="88" t="s">
        <v>49</v>
      </c>
      <c r="J81" s="88" t="s">
        <v>50</v>
      </c>
      <c r="K81" s="78">
        <f>G81+0.06</f>
        <v>1.51</v>
      </c>
      <c r="L81" s="78">
        <v>0.4</v>
      </c>
      <c r="M81" s="67">
        <f t="shared" si="19"/>
        <v>4.8320000000000007</v>
      </c>
      <c r="N81" s="92" t="str">
        <f t="shared" si="27"/>
        <v>ECO RJtest_gv</v>
      </c>
      <c r="O81" s="99"/>
      <c r="P81" s="97"/>
      <c r="Q81" s="191"/>
      <c r="R81" s="53"/>
      <c r="S81" s="62"/>
      <c r="T81" s="65"/>
      <c r="U81" s="66"/>
      <c r="V81" s="66"/>
      <c r="W81"/>
    </row>
    <row r="82" spans="1:23">
      <c r="A82" s="74" t="s">
        <v>45</v>
      </c>
      <c r="B82" s="220"/>
      <c r="C82" s="69" t="s">
        <v>212</v>
      </c>
      <c r="D82" s="69" t="s">
        <v>213</v>
      </c>
      <c r="E82" s="153">
        <v>1</v>
      </c>
      <c r="F82" s="204" t="b">
        <v>0</v>
      </c>
      <c r="G82" s="170">
        <v>1.45</v>
      </c>
      <c r="H82" s="78">
        <v>0.42</v>
      </c>
      <c r="I82" s="88" t="s">
        <v>49</v>
      </c>
      <c r="J82" s="88" t="s">
        <v>50</v>
      </c>
      <c r="K82" s="78">
        <f>G82+0.06</f>
        <v>1.51</v>
      </c>
      <c r="L82" s="78">
        <v>0.4</v>
      </c>
      <c r="M82" s="67">
        <f t="shared" si="19"/>
        <v>0.60400000000000009</v>
      </c>
      <c r="N82" s="92" t="str">
        <f t="shared" si="27"/>
        <v>ECO RJtest_medica</v>
      </c>
      <c r="O82" s="99"/>
      <c r="P82" s="97"/>
      <c r="Q82" s="191"/>
    </row>
    <row r="83" spans="1:23">
      <c r="A83" s="74" t="s">
        <v>45</v>
      </c>
      <c r="B83" s="209" t="s">
        <v>214</v>
      </c>
      <c r="C83" s="69" t="s">
        <v>215</v>
      </c>
      <c r="D83" s="69" t="s">
        <v>216</v>
      </c>
      <c r="E83" s="153">
        <v>1</v>
      </c>
      <c r="F83" s="204" t="b">
        <v>0</v>
      </c>
      <c r="G83" s="164">
        <v>0.5</v>
      </c>
      <c r="H83" s="67">
        <v>0.3</v>
      </c>
      <c r="I83" s="68" t="s">
        <v>130</v>
      </c>
      <c r="J83" s="68" t="s">
        <v>217</v>
      </c>
      <c r="K83" s="67">
        <v>0.5</v>
      </c>
      <c r="L83" s="67">
        <v>0.3</v>
      </c>
      <c r="M83" s="67">
        <f t="shared" si="19"/>
        <v>0.15</v>
      </c>
      <c r="N83" s="92" t="str">
        <f t="shared" si="27"/>
        <v>ECO RJpl_Sot</v>
      </c>
      <c r="O83" s="99"/>
      <c r="P83" s="97"/>
      <c r="Q83" s="191"/>
    </row>
    <row r="84" spans="1:23">
      <c r="A84" s="74" t="s">
        <v>45</v>
      </c>
      <c r="B84" s="209"/>
      <c r="C84" s="69" t="s">
        <v>218</v>
      </c>
      <c r="D84" s="69" t="s">
        <v>219</v>
      </c>
      <c r="E84" s="153">
        <v>1</v>
      </c>
      <c r="F84" s="204" t="b">
        <v>0</v>
      </c>
      <c r="G84" s="164">
        <v>0.5</v>
      </c>
      <c r="H84" s="67">
        <v>0.3</v>
      </c>
      <c r="I84" s="68" t="s">
        <v>130</v>
      </c>
      <c r="J84" s="68" t="s">
        <v>217</v>
      </c>
      <c r="K84" s="67">
        <v>0.5</v>
      </c>
      <c r="L84" s="67">
        <v>0.3</v>
      </c>
      <c r="M84" s="67">
        <f t="shared" ref="M84" si="28">L84*K84*E84</f>
        <v>0.15</v>
      </c>
      <c r="N84" s="92" t="str">
        <f t="shared" si="27"/>
        <v>ECO RJpl_Bra</v>
      </c>
      <c r="O84" s="99"/>
      <c r="P84" s="97"/>
      <c r="Q84" s="191"/>
    </row>
    <row r="85" spans="1:23">
      <c r="A85" s="74" t="s">
        <v>45</v>
      </c>
      <c r="B85" s="209"/>
      <c r="C85" s="69" t="s">
        <v>220</v>
      </c>
      <c r="D85" s="84" t="s">
        <v>221</v>
      </c>
      <c r="E85" s="153">
        <v>1</v>
      </c>
      <c r="F85" s="204" t="b">
        <v>0</v>
      </c>
      <c r="G85" s="164">
        <v>0.5</v>
      </c>
      <c r="H85" s="67">
        <v>0.3</v>
      </c>
      <c r="I85" s="68" t="s">
        <v>130</v>
      </c>
      <c r="J85" s="68" t="s">
        <v>217</v>
      </c>
      <c r="K85" s="67">
        <v>0.5</v>
      </c>
      <c r="L85" s="67">
        <v>0.3</v>
      </c>
      <c r="M85" s="67">
        <f t="shared" ref="M85" si="29">L85*K85*E85</f>
        <v>0.15</v>
      </c>
      <c r="N85" s="92"/>
      <c r="O85" s="99"/>
      <c r="P85" s="97"/>
      <c r="Q85" s="191"/>
    </row>
    <row r="86" spans="1:23">
      <c r="A86" s="74" t="s">
        <v>45</v>
      </c>
      <c r="B86" s="210"/>
      <c r="C86" s="84" t="s">
        <v>222</v>
      </c>
      <c r="D86" s="84" t="s">
        <v>223</v>
      </c>
      <c r="E86" s="152">
        <v>1</v>
      </c>
      <c r="F86" s="204" t="b">
        <v>0</v>
      </c>
      <c r="G86" s="171">
        <v>0.5</v>
      </c>
      <c r="H86" s="111">
        <v>0.3</v>
      </c>
      <c r="I86" s="98" t="s">
        <v>130</v>
      </c>
      <c r="J86" s="98" t="s">
        <v>217</v>
      </c>
      <c r="K86" s="111">
        <v>0.5</v>
      </c>
      <c r="L86" s="111">
        <v>0.3</v>
      </c>
      <c r="M86" s="111">
        <f t="shared" si="19"/>
        <v>0.15</v>
      </c>
      <c r="N86" s="92" t="str">
        <f t="shared" si="27"/>
        <v>ECO RJpl_e_verde</v>
      </c>
      <c r="O86" s="99"/>
      <c r="P86" s="97" t="s">
        <v>51</v>
      </c>
      <c r="Q86" s="191" t="s">
        <v>52</v>
      </c>
    </row>
    <row r="87" spans="1:23">
      <c r="A87" s="74" t="s">
        <v>45</v>
      </c>
      <c r="B87" s="112" t="s">
        <v>224</v>
      </c>
      <c r="C87" s="113" t="s">
        <v>225</v>
      </c>
      <c r="D87" s="84" t="s">
        <v>226</v>
      </c>
      <c r="E87" s="152">
        <v>2</v>
      </c>
      <c r="F87" s="204" t="b">
        <v>0</v>
      </c>
      <c r="G87" s="171">
        <v>2.1</v>
      </c>
      <c r="H87" s="111">
        <v>2.82</v>
      </c>
      <c r="I87" s="98" t="s">
        <v>130</v>
      </c>
      <c r="J87" s="98" t="s">
        <v>227</v>
      </c>
      <c r="K87" s="111">
        <v>2.2000000000000002</v>
      </c>
      <c r="L87" s="111">
        <v>2.92</v>
      </c>
      <c r="M87" s="111">
        <f t="shared" si="19"/>
        <v>12.848000000000001</v>
      </c>
      <c r="N87" s="92" t="str">
        <f t="shared" si="27"/>
        <v>ECO RJIco_Têni</v>
      </c>
      <c r="O87" s="99"/>
      <c r="P87" s="97" t="s">
        <v>51</v>
      </c>
      <c r="Q87" s="191" t="s">
        <v>52</v>
      </c>
    </row>
    <row r="88" spans="1:23">
      <c r="A88" s="74" t="s">
        <v>45</v>
      </c>
      <c r="B88" s="112"/>
      <c r="C88" s="113" t="s">
        <v>228</v>
      </c>
      <c r="D88" s="84"/>
      <c r="E88" s="152">
        <v>1</v>
      </c>
      <c r="F88" s="204" t="b">
        <v>0</v>
      </c>
      <c r="G88" s="171">
        <v>0.88</v>
      </c>
      <c r="H88" s="111">
        <v>0.95</v>
      </c>
      <c r="I88" s="98"/>
      <c r="J88" s="98" t="s">
        <v>205</v>
      </c>
      <c r="K88" s="111">
        <v>0.88</v>
      </c>
      <c r="L88" s="111">
        <v>0.95</v>
      </c>
      <c r="M88" s="111"/>
      <c r="N88" s="92" t="str">
        <f t="shared" si="27"/>
        <v>ECO RJ</v>
      </c>
      <c r="O88" s="99"/>
      <c r="P88" s="97" t="s">
        <v>51</v>
      </c>
      <c r="Q88" s="191" t="s">
        <v>52</v>
      </c>
    </row>
    <row r="89" spans="1:23">
      <c r="A89" s="74" t="s">
        <v>45</v>
      </c>
      <c r="B89" s="112" t="s">
        <v>229</v>
      </c>
      <c r="C89" s="84" t="s">
        <v>230</v>
      </c>
      <c r="D89" s="84" t="s">
        <v>231</v>
      </c>
      <c r="E89" s="152">
        <v>1</v>
      </c>
      <c r="F89" s="204" t="b">
        <v>0</v>
      </c>
      <c r="G89" s="172"/>
      <c r="H89" s="98"/>
      <c r="I89" s="98"/>
      <c r="J89" s="98"/>
      <c r="K89" s="111"/>
      <c r="L89" s="111"/>
      <c r="M89" s="111"/>
      <c r="N89" s="92" t="str">
        <f t="shared" si="27"/>
        <v>ECO RJLetr_Rum</v>
      </c>
      <c r="O89" s="105"/>
      <c r="P89" s="97" t="s">
        <v>51</v>
      </c>
      <c r="Q89" s="191" t="s">
        <v>52</v>
      </c>
    </row>
    <row r="90" spans="1:23">
      <c r="A90" s="74" t="s">
        <v>45</v>
      </c>
      <c r="B90" s="149"/>
      <c r="C90" s="7" t="s">
        <v>232</v>
      </c>
      <c r="D90" s="7"/>
      <c r="E90" s="161"/>
      <c r="F90" s="204" t="b">
        <v>0</v>
      </c>
      <c r="G90" s="173">
        <v>0.4</v>
      </c>
      <c r="H90" s="150">
        <v>0.15</v>
      </c>
      <c r="I90" s="150" t="s">
        <v>130</v>
      </c>
      <c r="J90" s="150"/>
      <c r="K90" s="18">
        <v>0.4</v>
      </c>
      <c r="L90" s="190">
        <v>0.15</v>
      </c>
      <c r="M90" s="67">
        <f t="shared" ref="M90" si="30">L90*K90*E90</f>
        <v>0</v>
      </c>
      <c r="N90" s="92" t="str">
        <f t="shared" si="27"/>
        <v>ECO RJ</v>
      </c>
      <c r="O90" s="105"/>
      <c r="P90" s="18"/>
      <c r="Q90" s="18"/>
    </row>
    <row r="91" spans="1:23">
      <c r="F91" s="73"/>
    </row>
    <row r="92" spans="1:23">
      <c r="F92" s="73"/>
    </row>
    <row r="93" spans="1:23">
      <c r="A93" s="205"/>
      <c r="B93" s="149" t="s">
        <v>233</v>
      </c>
      <c r="C93" s="7" t="s">
        <v>234</v>
      </c>
      <c r="D93" s="7"/>
      <c r="E93" s="150">
        <v>1</v>
      </c>
      <c r="F93" s="68"/>
      <c r="G93" s="150"/>
      <c r="H93" s="150"/>
      <c r="I93" s="150"/>
      <c r="J93" s="150"/>
      <c r="K93" s="18"/>
      <c r="L93" s="18"/>
      <c r="M93" s="18"/>
      <c r="N93" s="18"/>
      <c r="O93" s="18"/>
      <c r="P93" s="18"/>
      <c r="Q93" s="18" t="s">
        <v>235</v>
      </c>
    </row>
    <row r="94" spans="1:23">
      <c r="F94" s="73"/>
    </row>
  </sheetData>
  <autoFilter ref="A3:Q80" xr:uid="{E6A19D9D-7445-4B49-B72B-384045048283}">
    <filterColumn colId="10" showButton="0"/>
  </autoFilter>
  <mergeCells count="16">
    <mergeCell ref="A1:Q1"/>
    <mergeCell ref="B55:B62"/>
    <mergeCell ref="B63:B73"/>
    <mergeCell ref="B77:B82"/>
    <mergeCell ref="B74:B76"/>
    <mergeCell ref="B32:B36"/>
    <mergeCell ref="B45:B47"/>
    <mergeCell ref="B48:B54"/>
    <mergeCell ref="B37:B44"/>
    <mergeCell ref="W55:W58"/>
    <mergeCell ref="W18:W47"/>
    <mergeCell ref="K3:L3"/>
    <mergeCell ref="S3:V3"/>
    <mergeCell ref="B83:B86"/>
    <mergeCell ref="B4:B17"/>
    <mergeCell ref="B18:B3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6501-402E-4D8C-B50F-D61B45FF35D6}">
  <dimension ref="A1"/>
  <sheetViews>
    <sheetView workbookViewId="0">
      <selection activeCell="E2" sqref="E2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E54D-9D28-4238-97D8-E64A310B8496}">
  <dimension ref="B2:AK46"/>
  <sheetViews>
    <sheetView showGridLines="0" zoomScale="85" zoomScaleNormal="85" workbookViewId="0">
      <selection activeCell="F10" sqref="F10"/>
    </sheetView>
  </sheetViews>
  <sheetFormatPr defaultColWidth="8.85546875" defaultRowHeight="15"/>
  <cols>
    <col min="2" max="3" width="21.85546875" customWidth="1"/>
    <col min="4" max="5" width="13.7109375" customWidth="1"/>
    <col min="6" max="6" width="28.42578125" style="24" customWidth="1"/>
    <col min="8" max="9" width="24.7109375" customWidth="1"/>
    <col min="10" max="11" width="20.42578125" customWidth="1"/>
    <col min="12" max="12" width="17.28515625" style="24" customWidth="1"/>
    <col min="14" max="16" width="24.140625" customWidth="1"/>
    <col min="17" max="17" width="11.85546875" customWidth="1"/>
    <col min="18" max="18" width="15.28515625" style="24" customWidth="1"/>
    <col min="20" max="20" width="22.140625" customWidth="1"/>
    <col min="21" max="21" width="20.7109375" bestFit="1" customWidth="1"/>
    <col min="22" max="22" width="21.7109375" customWidth="1"/>
    <col min="23" max="23" width="17.85546875" customWidth="1"/>
    <col min="24" max="24" width="9.140625" style="24"/>
    <col min="26" max="26" width="17.140625" customWidth="1"/>
    <col min="27" max="27" width="18.140625" bestFit="1" customWidth="1"/>
    <col min="28" max="28" width="15.42578125" customWidth="1"/>
    <col min="29" max="29" width="10.140625" bestFit="1" customWidth="1"/>
    <col min="30" max="30" width="8.42578125" bestFit="1" customWidth="1"/>
    <col min="31" max="31" width="13.42578125" customWidth="1"/>
    <col min="33" max="33" width="10.85546875" customWidth="1"/>
    <col min="34" max="34" width="24.28515625" customWidth="1"/>
    <col min="35" max="35" width="13.85546875" customWidth="1"/>
    <col min="37" max="37" width="14.85546875" customWidth="1"/>
  </cols>
  <sheetData>
    <row r="2" spans="2:37">
      <c r="B2" s="231" t="s">
        <v>236</v>
      </c>
      <c r="C2" s="232"/>
      <c r="D2" s="232"/>
      <c r="E2" s="232"/>
      <c r="F2" s="233"/>
      <c r="G2" s="6"/>
      <c r="H2" s="231" t="s">
        <v>113</v>
      </c>
      <c r="I2" s="232"/>
      <c r="J2" s="232"/>
      <c r="K2" s="232"/>
      <c r="L2" s="233"/>
      <c r="M2" s="6"/>
      <c r="N2" s="231" t="s">
        <v>237</v>
      </c>
      <c r="O2" s="232"/>
      <c r="P2" s="232"/>
      <c r="Q2" s="232"/>
      <c r="R2" s="233"/>
      <c r="T2" s="231" t="s">
        <v>238</v>
      </c>
      <c r="U2" s="232"/>
      <c r="V2" s="232"/>
      <c r="W2" s="232"/>
      <c r="X2" s="233"/>
      <c r="Z2" s="231" t="s">
        <v>239</v>
      </c>
      <c r="AA2" s="232"/>
      <c r="AB2" s="232"/>
      <c r="AC2" s="232"/>
      <c r="AD2" s="232"/>
      <c r="AE2" s="233"/>
      <c r="AG2" s="231" t="s">
        <v>239</v>
      </c>
      <c r="AH2" s="232"/>
      <c r="AI2" s="232"/>
      <c r="AJ2" s="232"/>
      <c r="AK2" s="233"/>
    </row>
    <row r="3" spans="2:37" ht="6" customHeight="1">
      <c r="B3" s="19"/>
      <c r="C3" s="19"/>
      <c r="D3" s="19"/>
      <c r="E3" s="19"/>
      <c r="F3" s="33"/>
      <c r="G3" s="6"/>
      <c r="H3" s="5"/>
      <c r="I3" s="5"/>
      <c r="J3" s="5"/>
      <c r="K3" s="5"/>
      <c r="L3" s="23"/>
      <c r="M3" s="6"/>
      <c r="N3" s="19"/>
      <c r="O3" s="19"/>
      <c r="P3" s="19"/>
      <c r="Q3" s="19"/>
      <c r="R3" s="33"/>
    </row>
    <row r="4" spans="2:37">
      <c r="B4" s="4" t="e">
        <f>#REF!</f>
        <v>#REF!</v>
      </c>
      <c r="C4" s="4" t="s">
        <v>240</v>
      </c>
      <c r="D4" s="1" t="s">
        <v>241</v>
      </c>
      <c r="E4" s="1" t="s">
        <v>242</v>
      </c>
      <c r="F4" s="34" t="s">
        <v>243</v>
      </c>
      <c r="H4" s="20" t="e">
        <f>#REF!</f>
        <v>#REF!</v>
      </c>
      <c r="I4" s="4" t="s">
        <v>240</v>
      </c>
      <c r="J4" s="16" t="s">
        <v>241</v>
      </c>
      <c r="K4" s="1" t="s">
        <v>242</v>
      </c>
      <c r="L4" s="34" t="s">
        <v>243</v>
      </c>
      <c r="N4" s="11" t="e">
        <f>#REF!</f>
        <v>#REF!</v>
      </c>
      <c r="O4" s="4" t="s">
        <v>240</v>
      </c>
      <c r="P4" s="16" t="s">
        <v>241</v>
      </c>
      <c r="Q4" s="1" t="s">
        <v>242</v>
      </c>
      <c r="R4" s="34" t="s">
        <v>243</v>
      </c>
      <c r="U4" s="20" t="s">
        <v>240</v>
      </c>
      <c r="V4" s="16" t="s">
        <v>241</v>
      </c>
      <c r="W4" s="16" t="s">
        <v>242</v>
      </c>
      <c r="X4" s="36" t="s">
        <v>243</v>
      </c>
      <c r="AA4" s="11" t="e">
        <f>#REF!</f>
        <v>#REF!</v>
      </c>
      <c r="AB4" s="4" t="s">
        <v>240</v>
      </c>
      <c r="AC4" s="16" t="s">
        <v>241</v>
      </c>
      <c r="AD4" s="1" t="s">
        <v>242</v>
      </c>
      <c r="AE4" s="34" t="s">
        <v>243</v>
      </c>
      <c r="AH4" s="20" t="s">
        <v>240</v>
      </c>
      <c r="AI4" s="16" t="s">
        <v>241</v>
      </c>
      <c r="AJ4" s="16" t="s">
        <v>242</v>
      </c>
      <c r="AK4" s="36" t="s">
        <v>243</v>
      </c>
    </row>
    <row r="5" spans="2:37">
      <c r="B5" s="229" t="s">
        <v>244</v>
      </c>
      <c r="C5" s="13" t="s">
        <v>245</v>
      </c>
      <c r="D5" s="3" t="s">
        <v>53</v>
      </c>
      <c r="E5" s="3" t="e">
        <f>#REF!</f>
        <v>#REF!</v>
      </c>
      <c r="F5" s="27" t="e">
        <f>E5*B4</f>
        <v>#REF!</v>
      </c>
      <c r="H5" s="15" t="s">
        <v>246</v>
      </c>
      <c r="I5" s="15" t="s">
        <v>247</v>
      </c>
      <c r="J5" s="21" t="s">
        <v>53</v>
      </c>
      <c r="K5" s="21" t="e">
        <f>#REF!</f>
        <v>#REF!</v>
      </c>
      <c r="L5" s="18" t="e">
        <f>K5*H4</f>
        <v>#REF!</v>
      </c>
      <c r="N5" s="17" t="s">
        <v>248</v>
      </c>
      <c r="O5" s="28" t="s">
        <v>245</v>
      </c>
      <c r="P5" s="3" t="s">
        <v>53</v>
      </c>
      <c r="Q5" s="25" t="e">
        <f>#REF!</f>
        <v>#REF!</v>
      </c>
      <c r="R5" s="27" t="e">
        <f>2*Q5*N4</f>
        <v>#REF!</v>
      </c>
      <c r="T5" s="4" t="e">
        <f>#REF!</f>
        <v>#REF!</v>
      </c>
      <c r="U5" s="30" t="s">
        <v>249</v>
      </c>
      <c r="V5" s="9" t="s">
        <v>53</v>
      </c>
      <c r="W5" s="32" t="e">
        <f>#REF!</f>
        <v>#REF!</v>
      </c>
      <c r="X5" s="31" t="e">
        <f>W5*T5</f>
        <v>#REF!</v>
      </c>
      <c r="AA5" s="17" t="s">
        <v>250</v>
      </c>
      <c r="AB5" s="28" t="s">
        <v>245</v>
      </c>
      <c r="AC5" s="3" t="s">
        <v>53</v>
      </c>
      <c r="AD5" s="25" t="e">
        <f>#REF!</f>
        <v>#REF!</v>
      </c>
      <c r="AE5" s="41" t="e">
        <f>AD5*AA4</f>
        <v>#REF!</v>
      </c>
      <c r="AG5" s="4" t="e">
        <f>#REF!</f>
        <v>#REF!</v>
      </c>
      <c r="AH5" s="30" t="s">
        <v>251</v>
      </c>
      <c r="AI5" s="9" t="s">
        <v>58</v>
      </c>
      <c r="AJ5" s="32" t="e">
        <f>#REF!</f>
        <v>#REF!</v>
      </c>
      <c r="AK5" s="31" t="e">
        <f>AJ5*AG5</f>
        <v>#REF!</v>
      </c>
    </row>
    <row r="6" spans="2:37">
      <c r="B6" s="230"/>
      <c r="C6" s="13" t="s">
        <v>247</v>
      </c>
      <c r="D6" s="3" t="s">
        <v>53</v>
      </c>
      <c r="E6" s="3" t="e">
        <f>#REF!</f>
        <v>#REF!</v>
      </c>
      <c r="F6" s="41" t="e">
        <f>E6*B4</f>
        <v>#REF!</v>
      </c>
      <c r="H6" s="2"/>
      <c r="I6" s="2"/>
      <c r="L6" s="35" t="e">
        <f>SUM(L5:L5)</f>
        <v>#REF!</v>
      </c>
      <c r="N6" s="45"/>
      <c r="O6" s="45"/>
      <c r="P6" s="45"/>
      <c r="R6" s="35" t="e">
        <f>SUM(R4:R5)</f>
        <v>#REF!</v>
      </c>
      <c r="T6" s="4" t="e">
        <f>#REF!</f>
        <v>#REF!</v>
      </c>
      <c r="U6" s="14" t="s">
        <v>252</v>
      </c>
      <c r="V6" s="9" t="s">
        <v>53</v>
      </c>
      <c r="W6" s="32" t="e">
        <f>#REF!</f>
        <v>#REF!</v>
      </c>
      <c r="X6" s="31" t="e">
        <f>W6*T6</f>
        <v>#REF!</v>
      </c>
      <c r="AE6" s="35" t="e">
        <f>SUM(AE5)</f>
        <v>#REF!</v>
      </c>
      <c r="AG6" s="4" t="e">
        <f>#REF!</f>
        <v>#REF!</v>
      </c>
      <c r="AH6" s="14" t="s">
        <v>253</v>
      </c>
      <c r="AI6" s="9" t="s">
        <v>58</v>
      </c>
      <c r="AJ6" s="32" t="e">
        <f>#REF!</f>
        <v>#REF!</v>
      </c>
      <c r="AK6" s="18" t="e">
        <f t="shared" ref="AK6" si="0">AJ6*AG6</f>
        <v>#REF!</v>
      </c>
    </row>
    <row r="7" spans="2:37">
      <c r="F7" s="35" t="e">
        <f>SUM(F5:F6)</f>
        <v>#REF!</v>
      </c>
      <c r="H7" s="2"/>
      <c r="I7" s="2"/>
      <c r="N7" s="45"/>
      <c r="O7" s="45"/>
      <c r="P7" s="45"/>
      <c r="R7"/>
      <c r="T7" s="4" t="e">
        <f>#REF!</f>
        <v>#REF!</v>
      </c>
      <c r="U7" s="14" t="s">
        <v>254</v>
      </c>
      <c r="V7" s="9" t="s">
        <v>53</v>
      </c>
      <c r="W7" s="32" t="e">
        <f>#REF!</f>
        <v>#REF!</v>
      </c>
      <c r="X7" s="18" t="e">
        <f t="shared" ref="X7:X11" si="1">W7*T7</f>
        <v>#REF!</v>
      </c>
      <c r="AK7" s="35" t="e">
        <f>SUM(AK5:AK6)</f>
        <v>#REF!</v>
      </c>
    </row>
    <row r="8" spans="2:37">
      <c r="F8" s="22"/>
      <c r="H8" s="11" t="e">
        <f>#REF!</f>
        <v>#REF!</v>
      </c>
      <c r="I8" s="11" t="s">
        <v>240</v>
      </c>
      <c r="J8" s="1" t="s">
        <v>241</v>
      </c>
      <c r="K8" s="1" t="s">
        <v>242</v>
      </c>
      <c r="L8" s="34" t="s">
        <v>243</v>
      </c>
      <c r="N8" s="11" t="e">
        <f>#REF!</f>
        <v>#REF!</v>
      </c>
      <c r="O8" s="4" t="s">
        <v>240</v>
      </c>
      <c r="P8" s="16" t="s">
        <v>241</v>
      </c>
      <c r="Q8" s="1" t="s">
        <v>242</v>
      </c>
      <c r="R8" s="34" t="s">
        <v>243</v>
      </c>
      <c r="T8" s="4" t="e">
        <f>#REF!</f>
        <v>#REF!</v>
      </c>
      <c r="U8" s="14" t="s">
        <v>255</v>
      </c>
      <c r="V8" s="9" t="s">
        <v>53</v>
      </c>
      <c r="W8" s="32" t="e">
        <f>#REF!</f>
        <v>#REF!</v>
      </c>
      <c r="X8" s="18" t="e">
        <f t="shared" si="1"/>
        <v>#REF!</v>
      </c>
      <c r="AA8" s="11" t="s">
        <v>256</v>
      </c>
      <c r="AB8" s="11" t="s">
        <v>240</v>
      </c>
      <c r="AC8" s="16" t="s">
        <v>241</v>
      </c>
      <c r="AD8" s="1" t="s">
        <v>242</v>
      </c>
      <c r="AE8" s="34" t="s">
        <v>243</v>
      </c>
    </row>
    <row r="9" spans="2:37">
      <c r="B9" s="4" t="e">
        <f>#REF!</f>
        <v>#REF!</v>
      </c>
      <c r="C9" s="4" t="s">
        <v>240</v>
      </c>
      <c r="D9" s="1" t="s">
        <v>241</v>
      </c>
      <c r="E9" s="1"/>
      <c r="F9" s="34" t="s">
        <v>257</v>
      </c>
      <c r="H9" s="15" t="s">
        <v>258</v>
      </c>
      <c r="I9" s="15" t="s">
        <v>247</v>
      </c>
      <c r="J9" s="12" t="s">
        <v>53</v>
      </c>
      <c r="K9" s="25" t="e">
        <f>#REF!</f>
        <v>#REF!</v>
      </c>
      <c r="L9" s="27" t="e">
        <f>K9*H8</f>
        <v>#REF!</v>
      </c>
      <c r="N9" s="235" t="s">
        <v>259</v>
      </c>
      <c r="O9" s="28" t="s">
        <v>245</v>
      </c>
      <c r="P9" s="3" t="s">
        <v>53</v>
      </c>
      <c r="Q9" s="25" t="e">
        <f>#REF!</f>
        <v>#REF!</v>
      </c>
      <c r="R9" s="27" t="e">
        <f>2*Q9*N8</f>
        <v>#REF!</v>
      </c>
      <c r="T9" s="4" t="e">
        <f>#REF!</f>
        <v>#REF!</v>
      </c>
      <c r="U9" s="14" t="s">
        <v>260</v>
      </c>
      <c r="V9" s="9" t="s">
        <v>53</v>
      </c>
      <c r="W9" s="32" t="e">
        <f>#REF!</f>
        <v>#REF!</v>
      </c>
      <c r="X9" s="18" t="e">
        <f t="shared" si="1"/>
        <v>#REF!</v>
      </c>
      <c r="Z9" s="234" t="s">
        <v>261</v>
      </c>
      <c r="AA9" s="17" t="e">
        <f>#REF!</f>
        <v>#REF!</v>
      </c>
      <c r="AB9" s="15" t="s">
        <v>245</v>
      </c>
      <c r="AC9" s="42" t="s">
        <v>53</v>
      </c>
      <c r="AD9" s="25" t="e">
        <f>#REF!</f>
        <v>#REF!</v>
      </c>
      <c r="AE9" s="27" t="e">
        <f>AD9*AA9</f>
        <v>#REF!</v>
      </c>
    </row>
    <row r="10" spans="2:37">
      <c r="B10" s="229" t="s">
        <v>262</v>
      </c>
      <c r="C10" s="13" t="s">
        <v>245</v>
      </c>
      <c r="D10" s="3" t="s">
        <v>53</v>
      </c>
      <c r="E10" s="3" t="e">
        <f>#REF!</f>
        <v>#REF!</v>
      </c>
      <c r="F10" s="27" t="e">
        <f>E10*B9</f>
        <v>#REF!</v>
      </c>
      <c r="H10" s="2"/>
      <c r="I10" s="2"/>
      <c r="L10" s="35" t="e">
        <f>SUM(L9)</f>
        <v>#REF!</v>
      </c>
      <c r="N10" s="235"/>
      <c r="O10" s="28" t="s">
        <v>263</v>
      </c>
      <c r="P10" s="3" t="s">
        <v>53</v>
      </c>
      <c r="Q10" s="25" t="e">
        <f>#REF!</f>
        <v>#REF!</v>
      </c>
      <c r="R10" s="27" t="e">
        <f>4*Q10*N8</f>
        <v>#REF!</v>
      </c>
      <c r="T10" s="4" t="e">
        <f>#REF!</f>
        <v>#REF!</v>
      </c>
      <c r="U10" s="14" t="s">
        <v>264</v>
      </c>
      <c r="V10" s="9" t="s">
        <v>53</v>
      </c>
      <c r="W10" s="32" t="e">
        <f>#REF!</f>
        <v>#REF!</v>
      </c>
      <c r="X10" s="18" t="e">
        <f t="shared" si="1"/>
        <v>#REF!</v>
      </c>
      <c r="Z10" s="234"/>
      <c r="AA10" s="17" t="e">
        <f>#REF!</f>
        <v>#REF!</v>
      </c>
      <c r="AB10" s="15" t="s">
        <v>265</v>
      </c>
      <c r="AC10" s="42" t="s">
        <v>53</v>
      </c>
      <c r="AD10" s="25" t="e">
        <f>#REF!</f>
        <v>#REF!</v>
      </c>
      <c r="AE10" s="27" t="e">
        <f>AD10*AA10</f>
        <v>#REF!</v>
      </c>
    </row>
    <row r="11" spans="2:37">
      <c r="B11" s="230"/>
      <c r="C11" s="13" t="s">
        <v>247</v>
      </c>
      <c r="D11" s="3" t="s">
        <v>53</v>
      </c>
      <c r="E11" s="3" t="e">
        <f>#REF!</f>
        <v>#REF!</v>
      </c>
      <c r="F11" s="41" t="e">
        <f>E11*B9</f>
        <v>#REF!</v>
      </c>
      <c r="H11" s="2"/>
      <c r="I11" s="2"/>
      <c r="R11" s="35" t="e">
        <f>SUM(R9:R10)</f>
        <v>#REF!</v>
      </c>
      <c r="T11" s="4" t="e">
        <f>#REF!</f>
        <v>#REF!</v>
      </c>
      <c r="U11" s="14" t="s">
        <v>266</v>
      </c>
      <c r="V11" s="9" t="s">
        <v>53</v>
      </c>
      <c r="W11" s="32" t="e">
        <f>#REF!</f>
        <v>#REF!</v>
      </c>
      <c r="X11" s="40" t="e">
        <f t="shared" si="1"/>
        <v>#REF!</v>
      </c>
      <c r="AE11" s="35" t="e">
        <f>SUM(AE9:AE10)</f>
        <v>#REF!</v>
      </c>
      <c r="AG11" s="231" t="s">
        <v>267</v>
      </c>
      <c r="AH11" s="232"/>
      <c r="AI11" s="232"/>
      <c r="AJ11" s="232"/>
      <c r="AK11" s="233"/>
    </row>
    <row r="12" spans="2:37">
      <c r="F12" s="35" t="e">
        <f>SUM(F10:F11)</f>
        <v>#REF!</v>
      </c>
      <c r="H12" s="11" t="e">
        <f>#REF!</f>
        <v>#REF!</v>
      </c>
      <c r="I12" s="11" t="s">
        <v>240</v>
      </c>
      <c r="J12" s="10" t="s">
        <v>241</v>
      </c>
      <c r="K12" s="10" t="s">
        <v>242</v>
      </c>
      <c r="L12" s="39" t="s">
        <v>243</v>
      </c>
      <c r="X12" s="38" t="e">
        <f>SUM(X5:X11)</f>
        <v>#REF!</v>
      </c>
      <c r="AE12" s="24"/>
      <c r="AG12" s="5"/>
      <c r="AH12" s="20" t="s">
        <v>240</v>
      </c>
      <c r="AI12" s="16" t="s">
        <v>241</v>
      </c>
      <c r="AJ12" s="16" t="s">
        <v>242</v>
      </c>
      <c r="AK12" s="36" t="s">
        <v>243</v>
      </c>
    </row>
    <row r="13" spans="2:37">
      <c r="F13" s="22"/>
      <c r="H13" s="15" t="s">
        <v>268</v>
      </c>
      <c r="I13" s="15" t="s">
        <v>247</v>
      </c>
      <c r="J13" s="21" t="s">
        <v>53</v>
      </c>
      <c r="K13" s="26" t="e">
        <f>#REF!</f>
        <v>#REF!</v>
      </c>
      <c r="L13" s="40" t="e">
        <f>K13*H12</f>
        <v>#REF!</v>
      </c>
      <c r="N13" s="11" t="e">
        <f>#REF!</f>
        <v>#REF!</v>
      </c>
      <c r="O13" s="4" t="s">
        <v>240</v>
      </c>
      <c r="P13" s="16" t="s">
        <v>241</v>
      </c>
      <c r="Q13" s="1" t="s">
        <v>242</v>
      </c>
      <c r="R13" s="34" t="s">
        <v>243</v>
      </c>
      <c r="AA13" s="11" t="s">
        <v>256</v>
      </c>
      <c r="AB13" s="11" t="s">
        <v>240</v>
      </c>
      <c r="AC13" s="16" t="s">
        <v>241</v>
      </c>
      <c r="AD13" s="1" t="s">
        <v>242</v>
      </c>
      <c r="AE13" s="34" t="s">
        <v>243</v>
      </c>
      <c r="AG13" s="4" t="e">
        <f>#REF!</f>
        <v>#REF!</v>
      </c>
      <c r="AH13" s="14" t="s">
        <v>269</v>
      </c>
      <c r="AI13" s="9" t="s">
        <v>270</v>
      </c>
      <c r="AJ13" s="9" t="e">
        <f>#REF!</f>
        <v>#REF!</v>
      </c>
      <c r="AK13" s="9" t="e">
        <f>AJ13*AG13</f>
        <v>#REF!</v>
      </c>
    </row>
    <row r="14" spans="2:37">
      <c r="B14" s="4" t="e">
        <f>#REF!</f>
        <v>#REF!</v>
      </c>
      <c r="C14" s="4" t="s">
        <v>240</v>
      </c>
      <c r="D14" s="1" t="s">
        <v>241</v>
      </c>
      <c r="E14" s="1"/>
      <c r="F14" s="34" t="s">
        <v>257</v>
      </c>
      <c r="L14" s="35" t="e">
        <f>SUM(L13)</f>
        <v>#REF!</v>
      </c>
      <c r="N14" s="235" t="s">
        <v>271</v>
      </c>
      <c r="O14" s="28" t="s">
        <v>245</v>
      </c>
      <c r="P14" s="3" t="s">
        <v>53</v>
      </c>
      <c r="Q14" s="25" t="e">
        <f>#REF!</f>
        <v>#REF!</v>
      </c>
      <c r="R14" s="27" t="e">
        <f>2*Q14*N13</f>
        <v>#REF!</v>
      </c>
      <c r="Z14" s="235" t="s">
        <v>272</v>
      </c>
      <c r="AA14" s="17" t="e">
        <f>#REF!</f>
        <v>#REF!</v>
      </c>
      <c r="AB14" s="15" t="s">
        <v>245</v>
      </c>
      <c r="AC14" s="42" t="s">
        <v>53</v>
      </c>
      <c r="AD14" s="25" t="e">
        <f>#REF!</f>
        <v>#REF!</v>
      </c>
      <c r="AE14" s="27" t="e">
        <f>AD14*AA14</f>
        <v>#REF!</v>
      </c>
    </row>
    <row r="15" spans="2:37">
      <c r="B15" s="229" t="s">
        <v>273</v>
      </c>
      <c r="C15" s="13" t="s">
        <v>245</v>
      </c>
      <c r="D15" s="3" t="s">
        <v>53</v>
      </c>
      <c r="E15" s="3" t="e">
        <f>#REF!</f>
        <v>#REF!</v>
      </c>
      <c r="F15" s="27" t="e">
        <f>E15*B14</f>
        <v>#REF!</v>
      </c>
      <c r="N15" s="235"/>
      <c r="O15" s="28" t="s">
        <v>263</v>
      </c>
      <c r="P15" s="3" t="s">
        <v>53</v>
      </c>
      <c r="Q15" s="25" t="e">
        <f>#REF!</f>
        <v>#REF!</v>
      </c>
      <c r="R15" s="27" t="e">
        <f>4*Q15*N13</f>
        <v>#REF!</v>
      </c>
      <c r="Z15" s="235"/>
      <c r="AA15" s="17" t="e">
        <f>#REF!</f>
        <v>#REF!</v>
      </c>
      <c r="AB15" s="15" t="s">
        <v>265</v>
      </c>
      <c r="AC15" s="42" t="s">
        <v>53</v>
      </c>
      <c r="AD15" s="25" t="e">
        <f>#REF!</f>
        <v>#REF!</v>
      </c>
      <c r="AE15" s="27" t="e">
        <f>AD15*AA15</f>
        <v>#REF!</v>
      </c>
    </row>
    <row r="16" spans="2:37">
      <c r="B16" s="230"/>
      <c r="C16" s="13" t="s">
        <v>247</v>
      </c>
      <c r="D16" s="3" t="s">
        <v>53</v>
      </c>
      <c r="E16" s="3" t="e">
        <f>#REF!</f>
        <v>#REF!</v>
      </c>
      <c r="F16" s="41" t="e">
        <f>E16*B14</f>
        <v>#REF!</v>
      </c>
      <c r="R16" s="35" t="e">
        <f>SUM(R14:R15)</f>
        <v>#REF!</v>
      </c>
      <c r="AE16" s="35" t="e">
        <f>SUM(AE14:AE15)</f>
        <v>#REF!</v>
      </c>
    </row>
    <row r="17" spans="6:29">
      <c r="F17" s="35" t="e">
        <f>SUM(F15:F16)</f>
        <v>#REF!</v>
      </c>
      <c r="H17" s="236" t="s">
        <v>274</v>
      </c>
      <c r="I17" s="236"/>
      <c r="J17" s="236"/>
      <c r="K17" s="236"/>
      <c r="L17" s="236"/>
      <c r="AC17" s="2"/>
    </row>
    <row r="18" spans="6:29">
      <c r="H18" s="20">
        <v>0</v>
      </c>
      <c r="I18" s="20" t="s">
        <v>240</v>
      </c>
      <c r="J18" s="16" t="s">
        <v>241</v>
      </c>
      <c r="K18" s="16" t="s">
        <v>242</v>
      </c>
      <c r="L18" s="36" t="s">
        <v>243</v>
      </c>
      <c r="N18" s="20" t="e">
        <f>#REF!</f>
        <v>#REF!</v>
      </c>
      <c r="O18" s="20" t="s">
        <v>240</v>
      </c>
      <c r="P18" s="16" t="s">
        <v>241</v>
      </c>
      <c r="Q18" s="16" t="s">
        <v>242</v>
      </c>
      <c r="R18" s="36" t="s">
        <v>243</v>
      </c>
    </row>
    <row r="19" spans="6:29">
      <c r="H19" s="237" t="s">
        <v>275</v>
      </c>
      <c r="I19" s="15" t="s">
        <v>276</v>
      </c>
      <c r="J19" s="7" t="s">
        <v>53</v>
      </c>
      <c r="K19" s="8" t="e">
        <f>#REF!</f>
        <v>#REF!</v>
      </c>
      <c r="L19" s="18" t="e">
        <f>K19*H18</f>
        <v>#REF!</v>
      </c>
      <c r="N19" s="235" t="s">
        <v>277</v>
      </c>
      <c r="O19" s="15" t="s">
        <v>245</v>
      </c>
      <c r="P19" s="21" t="s">
        <v>53</v>
      </c>
      <c r="Q19" s="26" t="e">
        <f>#REF!</f>
        <v>#REF!</v>
      </c>
      <c r="R19" s="18" t="e">
        <f>2*Q19*N18</f>
        <v>#REF!</v>
      </c>
    </row>
    <row r="20" spans="6:29">
      <c r="H20" s="238"/>
      <c r="I20" s="15" t="s">
        <v>278</v>
      </c>
      <c r="J20" s="7" t="s">
        <v>279</v>
      </c>
      <c r="K20" s="8" t="e">
        <f>#REF!</f>
        <v>#REF!</v>
      </c>
      <c r="L20" s="18" t="e">
        <f>K20*H18</f>
        <v>#REF!</v>
      </c>
      <c r="N20" s="235"/>
      <c r="O20" s="15" t="s">
        <v>263</v>
      </c>
      <c r="P20" s="21" t="s">
        <v>53</v>
      </c>
      <c r="Q20" s="26" t="e">
        <f>#REF!</f>
        <v>#REF!</v>
      </c>
      <c r="R20" s="18" t="e">
        <f>4*Q20*N18</f>
        <v>#REF!</v>
      </c>
    </row>
    <row r="21" spans="6:29">
      <c r="L21" s="35" t="e">
        <f>SUM(L19:L20)</f>
        <v>#REF!</v>
      </c>
      <c r="R21" s="37" t="e">
        <f>SUM(R19:R20)</f>
        <v>#REF!</v>
      </c>
    </row>
    <row r="23" spans="6:29">
      <c r="N23" s="11" t="e">
        <f>#REF!</f>
        <v>#REF!</v>
      </c>
      <c r="O23" s="4" t="s">
        <v>240</v>
      </c>
      <c r="P23" s="16" t="s">
        <v>241</v>
      </c>
      <c r="Q23" s="1" t="s">
        <v>242</v>
      </c>
      <c r="R23" s="34" t="s">
        <v>243</v>
      </c>
    </row>
    <row r="24" spans="6:29">
      <c r="N24" s="235" t="s">
        <v>280</v>
      </c>
      <c r="O24" s="29" t="s">
        <v>245</v>
      </c>
      <c r="P24" s="3" t="s">
        <v>53</v>
      </c>
      <c r="Q24" s="25" t="e">
        <f>#REF!</f>
        <v>#REF!</v>
      </c>
      <c r="R24" s="27" t="e">
        <f>2*Q24*N23</f>
        <v>#REF!</v>
      </c>
    </row>
    <row r="25" spans="6:29">
      <c r="N25" s="235"/>
      <c r="O25" s="29" t="s">
        <v>263</v>
      </c>
      <c r="P25" s="21" t="s">
        <v>53</v>
      </c>
      <c r="Q25" s="26" t="e">
        <f>#REF!</f>
        <v>#REF!</v>
      </c>
      <c r="R25" s="18" t="e">
        <f>4*Q25*N23</f>
        <v>#REF!</v>
      </c>
    </row>
    <row r="26" spans="6:29">
      <c r="R26" s="37" t="e">
        <f>SUM(R24:R25)</f>
        <v>#REF!</v>
      </c>
    </row>
    <row r="28" spans="6:29">
      <c r="N28" s="11" t="e">
        <f>#REF!</f>
        <v>#REF!</v>
      </c>
      <c r="O28" s="4" t="s">
        <v>240</v>
      </c>
      <c r="P28" s="16" t="s">
        <v>241</v>
      </c>
      <c r="Q28" s="1" t="s">
        <v>242</v>
      </c>
      <c r="R28" s="34" t="s">
        <v>243</v>
      </c>
    </row>
    <row r="29" spans="6:29">
      <c r="N29" s="235" t="s">
        <v>281</v>
      </c>
      <c r="O29" s="29" t="s">
        <v>245</v>
      </c>
      <c r="P29" s="3" t="s">
        <v>53</v>
      </c>
      <c r="Q29" s="25" t="e">
        <f>#REF!</f>
        <v>#REF!</v>
      </c>
      <c r="R29" s="27" t="e">
        <f>2*Q29*N28</f>
        <v>#REF!</v>
      </c>
    </row>
    <row r="30" spans="6:29">
      <c r="N30" s="235"/>
      <c r="O30" s="29" t="s">
        <v>263</v>
      </c>
      <c r="P30" s="21" t="s">
        <v>53</v>
      </c>
      <c r="Q30" s="26" t="e">
        <f>#REF!</f>
        <v>#REF!</v>
      </c>
      <c r="R30" s="18" t="e">
        <f>4*Q30*N28</f>
        <v>#REF!</v>
      </c>
    </row>
    <row r="31" spans="6:29">
      <c r="R31" s="37" t="e">
        <f>SUM(R29:R30)</f>
        <v>#REF!</v>
      </c>
    </row>
    <row r="33" spans="14:18">
      <c r="N33" s="20" t="e">
        <f>#REF!</f>
        <v>#REF!</v>
      </c>
      <c r="O33" s="20" t="s">
        <v>240</v>
      </c>
      <c r="P33" s="16" t="s">
        <v>241</v>
      </c>
      <c r="Q33" s="16" t="s">
        <v>242</v>
      </c>
      <c r="R33" s="36" t="s">
        <v>243</v>
      </c>
    </row>
    <row r="34" spans="14:18">
      <c r="N34" s="235" t="s">
        <v>282</v>
      </c>
      <c r="O34" s="15" t="s">
        <v>245</v>
      </c>
      <c r="P34" s="21" t="s">
        <v>53</v>
      </c>
      <c r="Q34" s="26" t="e">
        <f>#REF!</f>
        <v>#REF!</v>
      </c>
      <c r="R34" s="18" t="e">
        <f>2*Q34*N33</f>
        <v>#REF!</v>
      </c>
    </row>
    <row r="35" spans="14:18">
      <c r="N35" s="235"/>
      <c r="O35" s="15" t="s">
        <v>263</v>
      </c>
      <c r="P35" s="21" t="s">
        <v>53</v>
      </c>
      <c r="Q35" s="26" t="e">
        <f>#REF!</f>
        <v>#REF!</v>
      </c>
      <c r="R35" s="18" t="e">
        <f>4*Q35*N33</f>
        <v>#REF!</v>
      </c>
    </row>
    <row r="36" spans="14:18">
      <c r="R36" s="37" t="e">
        <f>SUM(R34:R35)</f>
        <v>#REF!</v>
      </c>
    </row>
    <row r="38" spans="14:18">
      <c r="N38" s="11" t="e">
        <f>#REF!</f>
        <v>#REF!</v>
      </c>
      <c r="O38" s="4" t="s">
        <v>240</v>
      </c>
      <c r="P38" s="16" t="s">
        <v>241</v>
      </c>
      <c r="Q38" s="1" t="s">
        <v>242</v>
      </c>
      <c r="R38" s="34" t="s">
        <v>243</v>
      </c>
    </row>
    <row r="39" spans="14:18">
      <c r="N39" s="235" t="s">
        <v>283</v>
      </c>
      <c r="O39" s="29" t="s">
        <v>245</v>
      </c>
      <c r="P39" s="3" t="s">
        <v>53</v>
      </c>
      <c r="Q39" s="25" t="e">
        <f>#REF!</f>
        <v>#REF!</v>
      </c>
      <c r="R39" s="27" t="e">
        <f>2*Q39*N38</f>
        <v>#REF!</v>
      </c>
    </row>
    <row r="40" spans="14:18">
      <c r="N40" s="235"/>
      <c r="O40" s="29" t="s">
        <v>263</v>
      </c>
      <c r="P40" s="21" t="s">
        <v>53</v>
      </c>
      <c r="Q40" s="26" t="e">
        <f>#REF!</f>
        <v>#REF!</v>
      </c>
      <c r="R40" s="18" t="e">
        <f>4*Q40*N38</f>
        <v>#REF!</v>
      </c>
    </row>
    <row r="41" spans="14:18">
      <c r="R41" s="37" t="e">
        <f>SUM(R39:R40)</f>
        <v>#REF!</v>
      </c>
    </row>
    <row r="43" spans="14:18">
      <c r="N43" s="11" t="e">
        <f>#REF!</f>
        <v>#REF!</v>
      </c>
      <c r="O43" s="4" t="s">
        <v>240</v>
      </c>
      <c r="P43" s="16" t="s">
        <v>241</v>
      </c>
      <c r="Q43" s="1" t="s">
        <v>242</v>
      </c>
      <c r="R43" s="34" t="s">
        <v>243</v>
      </c>
    </row>
    <row r="44" spans="14:18">
      <c r="N44" s="235" t="s">
        <v>284</v>
      </c>
      <c r="O44" s="29" t="s">
        <v>245</v>
      </c>
      <c r="P44" s="3" t="s">
        <v>53</v>
      </c>
      <c r="Q44" s="25" t="e">
        <f>#REF!</f>
        <v>#REF!</v>
      </c>
      <c r="R44" s="27" t="e">
        <f>2*Q44*N43</f>
        <v>#REF!</v>
      </c>
    </row>
    <row r="45" spans="14:18">
      <c r="N45" s="235"/>
      <c r="O45" s="29" t="s">
        <v>263</v>
      </c>
      <c r="P45" s="21" t="s">
        <v>53</v>
      </c>
      <c r="Q45" s="26" t="e">
        <f>#REF!</f>
        <v>#REF!</v>
      </c>
      <c r="R45" s="18" t="e">
        <f>4*Q45*N43</f>
        <v>#REF!</v>
      </c>
    </row>
    <row r="46" spans="14:18">
      <c r="R46" s="37" t="e">
        <f>SUM(R44:R45)</f>
        <v>#REF!</v>
      </c>
    </row>
  </sheetData>
  <mergeCells count="22">
    <mergeCell ref="N19:N20"/>
    <mergeCell ref="N34:N35"/>
    <mergeCell ref="N39:N40"/>
    <mergeCell ref="N44:N45"/>
    <mergeCell ref="H17:L17"/>
    <mergeCell ref="H19:H20"/>
    <mergeCell ref="N24:N25"/>
    <mergeCell ref="N29:N30"/>
    <mergeCell ref="B15:B16"/>
    <mergeCell ref="AG2:AK2"/>
    <mergeCell ref="AG11:AK11"/>
    <mergeCell ref="B2:F2"/>
    <mergeCell ref="H2:L2"/>
    <mergeCell ref="N2:R2"/>
    <mergeCell ref="B10:B11"/>
    <mergeCell ref="B5:B6"/>
    <mergeCell ref="T2:X2"/>
    <mergeCell ref="Z9:Z10"/>
    <mergeCell ref="Z14:Z15"/>
    <mergeCell ref="Z2:AE2"/>
    <mergeCell ref="N9:N10"/>
    <mergeCell ref="N14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714E-D4F4-4EAE-A669-FC771C1A83A0}">
  <dimension ref="A1"/>
  <sheetViews>
    <sheetView workbookViewId="0">
      <selection activeCell="G7" sqref="G7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fab965-5d3d-4b41-841f-71d702db462b">
      <Terms xmlns="http://schemas.microsoft.com/office/infopath/2007/PartnerControls"/>
    </lcf76f155ced4ddcb4097134ff3c332f>
    <TaxCatchAll xmlns="7cfde75b-ac1e-4aae-b786-b4d594ced7d1" xsi:nil="true"/>
    <_Flow_SignoffStatus xmlns="04fab965-5d3d-4b41-841f-71d702db462b" xsi:nil="true"/>
    <SharedWithUsers xmlns="7cfde75b-ac1e-4aae-b786-b4d594ced7d1">
      <UserInfo>
        <DisplayName>Jan Felipe</DisplayName>
        <AccountId>122</AccountId>
        <AccountType/>
      </UserInfo>
      <UserInfo>
        <DisplayName>Jader Gabriel Alves de Carvalho</DisplayName>
        <AccountId>3175</AccountId>
        <AccountType/>
      </UserInfo>
      <UserInfo>
        <DisplayName>Pedro Lozano</DisplayName>
        <AccountId>1342</AccountId>
        <AccountType/>
      </UserInfo>
      <UserInfo>
        <DisplayName>Luana Cardoso</DisplayName>
        <AccountId>1361</AccountId>
        <AccountType/>
      </UserInfo>
      <UserInfo>
        <DisplayName>Petersson Menezes</DisplayName>
        <AccountId>1055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EB0DCFA5AE8489FD2BF1A99E02000" ma:contentTypeVersion="20" ma:contentTypeDescription="Crie um novo documento." ma:contentTypeScope="" ma:versionID="0b5ef5291248c327ba3e414424d939f2">
  <xsd:schema xmlns:xsd="http://www.w3.org/2001/XMLSchema" xmlns:xs="http://www.w3.org/2001/XMLSchema" xmlns:p="http://schemas.microsoft.com/office/2006/metadata/properties" xmlns:ns2="04fab965-5d3d-4b41-841f-71d702db462b" xmlns:ns3="7cfde75b-ac1e-4aae-b786-b4d594ced7d1" targetNamespace="http://schemas.microsoft.com/office/2006/metadata/properties" ma:root="true" ma:fieldsID="522db6fb571957bc53a57d5e0d6d393d" ns2:_="" ns3:_="">
    <xsd:import namespace="04fab965-5d3d-4b41-841f-71d702db462b"/>
    <xsd:import namespace="7cfde75b-ac1e-4aae-b786-b4d594ced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ab965-5d3d-4b41-841f-71d702db4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64acc2-bd2d-4409-85f6-df2eebf848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de75b-ac1e-4aae-b786-b4d594ced7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f1f763-c8ca-42e1-8124-06bfdff3a4c7}" ma:internalName="TaxCatchAll" ma:showField="CatchAllData" ma:web="7cfde75b-ac1e-4aae-b786-b4d594ced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40929-D3AD-4123-9F6F-702B64F697A4}"/>
</file>

<file path=customXml/itemProps2.xml><?xml version="1.0" encoding="utf-8"?>
<ds:datastoreItem xmlns:ds="http://schemas.openxmlformats.org/officeDocument/2006/customXml" ds:itemID="{76863803-F899-4083-BE50-FC048D818DD1}"/>
</file>

<file path=customXml/itemProps3.xml><?xml version="1.0" encoding="utf-8"?>
<ds:datastoreItem xmlns:ds="http://schemas.openxmlformats.org/officeDocument/2006/customXml" ds:itemID="{6A979D26-C471-4B9E-88AC-7EED3568D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Martins dos Santos</dc:creator>
  <cp:keywords/>
  <dc:description/>
  <cp:lastModifiedBy/>
  <cp:revision/>
  <dcterms:created xsi:type="dcterms:W3CDTF">2023-06-02T12:27:44Z</dcterms:created>
  <dcterms:modified xsi:type="dcterms:W3CDTF">2026-07-14T13:46:49Z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0x010100A20EB0DCFA5AE8489FD2BF1A99E02000</vt:lpwstr>
  </property>
  <property fmtid="{D5CDD505-2E9C-101B-9397-08002B2CF9AE}" pid="3" name="MediaServiceImageTags">
    <vt:lpwstr/>
  </property>
</Properties>
</file>