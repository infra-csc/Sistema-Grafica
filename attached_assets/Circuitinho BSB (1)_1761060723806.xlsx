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a.oliveira\Desktop\2024\"/>
    </mc:Choice>
  </mc:AlternateContent>
  <xr:revisionPtr revIDLastSave="0" documentId="8_{884DAF7A-1995-4970-BE48-871740A4BAE4}" xr6:coauthVersionLast="47" xr6:coauthVersionMax="47" xr10:uidLastSave="{00000000-0000-0000-0000-000000000000}"/>
  <bookViews>
    <workbookView xWindow="-120" yWindow="-120" windowWidth="20730" windowHeight="11160" xr2:uid="{FE8A82ED-98BB-4D1B-9975-DCDEDA610DCA}"/>
  </bookViews>
  <sheets>
    <sheet name="comunicação-eventos cenografia" sheetId="5" r:id="rId1"/>
    <sheet name="Placas km e percurso" sheetId="6" r:id="rId2"/>
    <sheet name="memória - compra material" sheetId="4" state="hidden" r:id="rId3"/>
  </sheets>
  <definedNames>
    <definedName name="_xlnm._FilterDatabase" localSheetId="0" hidden="1">'comunicação-eventos cenografia'!$A$3:$P$41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5" l="1"/>
  <c r="M16" i="5"/>
  <c r="M5" i="5"/>
  <c r="L47" i="5"/>
  <c r="M15" i="5"/>
  <c r="L15" i="5"/>
  <c r="M14" i="5"/>
  <c r="L14" i="5"/>
  <c r="M13" i="5"/>
  <c r="L13" i="5"/>
  <c r="M9" i="5"/>
  <c r="L9" i="5"/>
  <c r="M8" i="5"/>
  <c r="L8" i="5"/>
  <c r="M7" i="5"/>
  <c r="L7" i="5"/>
  <c r="M11" i="5"/>
  <c r="L11" i="5"/>
  <c r="L32" i="5"/>
  <c r="L31" i="5"/>
  <c r="M18" i="5"/>
  <c r="L18" i="5"/>
  <c r="M10" i="5"/>
  <c r="L10" i="5"/>
  <c r="L25" i="5"/>
  <c r="L24" i="5"/>
  <c r="L23" i="5"/>
  <c r="M20" i="5"/>
  <c r="M19" i="5"/>
  <c r="M46" i="5"/>
  <c r="L46" i="5"/>
  <c r="M44" i="5"/>
  <c r="L44" i="5"/>
  <c r="M43" i="5"/>
  <c r="L43" i="5"/>
  <c r="L28" i="5"/>
  <c r="M28" i="5"/>
  <c r="L50" i="5"/>
  <c r="M49" i="5"/>
  <c r="L49" i="5"/>
  <c r="K48" i="5"/>
  <c r="J48" i="5"/>
  <c r="M58" i="5"/>
  <c r="M57" i="5"/>
  <c r="M56" i="5"/>
  <c r="M55" i="5"/>
  <c r="M54" i="5"/>
  <c r="K58" i="5"/>
  <c r="J58" i="5"/>
  <c r="K57" i="5"/>
  <c r="J57" i="5"/>
  <c r="K56" i="5"/>
  <c r="J56" i="5"/>
  <c r="K54" i="5"/>
  <c r="J54" i="5"/>
  <c r="K55" i="5"/>
  <c r="J55" i="5"/>
  <c r="K53" i="5"/>
  <c r="J53" i="5"/>
  <c r="M22" i="5"/>
  <c r="M21" i="5"/>
  <c r="K22" i="5"/>
  <c r="J22" i="5"/>
  <c r="K21" i="5"/>
  <c r="J21" i="5"/>
  <c r="K20" i="5"/>
  <c r="J20" i="5"/>
  <c r="K19" i="5"/>
  <c r="J19" i="5"/>
  <c r="M62" i="5"/>
  <c r="M61" i="5"/>
  <c r="M60" i="5"/>
  <c r="M59" i="5"/>
  <c r="M53" i="5"/>
  <c r="M52" i="5"/>
  <c r="M51" i="5"/>
  <c r="M48" i="5"/>
  <c r="M47" i="5"/>
  <c r="M38" i="5"/>
  <c r="M37" i="5"/>
  <c r="M33" i="5"/>
  <c r="M26" i="5"/>
  <c r="M23" i="5"/>
  <c r="M35" i="5"/>
  <c r="M34" i="5"/>
  <c r="M45" i="5"/>
  <c r="L45" i="5"/>
  <c r="L42" i="5"/>
  <c r="L41" i="5"/>
  <c r="L40" i="5"/>
  <c r="M27" i="5"/>
  <c r="L27" i="5"/>
  <c r="M25" i="5"/>
  <c r="M24" i="5"/>
  <c r="M42" i="5"/>
  <c r="M41" i="5"/>
  <c r="M40" i="5"/>
  <c r="M17" i="5"/>
  <c r="M39" i="5"/>
  <c r="M36" i="5"/>
  <c r="M12" i="5"/>
  <c r="M6" i="5"/>
  <c r="M4" i="5"/>
  <c r="L39" i="5"/>
  <c r="L38" i="5"/>
  <c r="L37" i="5"/>
  <c r="L36" i="5"/>
  <c r="S6" i="5" s="1"/>
  <c r="U6" i="5" s="1"/>
  <c r="L35" i="5"/>
  <c r="L34" i="5"/>
  <c r="L33" i="5"/>
  <c r="L26" i="5"/>
  <c r="L17" i="5"/>
  <c r="L16" i="5"/>
  <c r="L12" i="5"/>
  <c r="L6" i="5"/>
  <c r="L5" i="5"/>
  <c r="L4" i="5"/>
  <c r="L48" i="5" l="1"/>
  <c r="L53" i="5"/>
  <c r="L55" i="5"/>
  <c r="L54" i="5"/>
  <c r="L56" i="5"/>
  <c r="L57" i="5"/>
  <c r="L58" i="5"/>
  <c r="L20" i="5"/>
  <c r="L21" i="5"/>
  <c r="L22" i="5"/>
  <c r="L19" i="5"/>
  <c r="S5" i="5"/>
  <c r="S4" i="5"/>
  <c r="U4" i="5" s="1"/>
  <c r="U5" i="5" l="1"/>
  <c r="U12" i="5" s="1"/>
  <c r="T6" i="4"/>
  <c r="W6" i="4"/>
  <c r="N4" i="4"/>
  <c r="Q5" i="4"/>
  <c r="AG13" i="4"/>
  <c r="AJ13" i="4"/>
  <c r="AG6" i="4"/>
  <c r="AG5" i="4"/>
  <c r="K19" i="4"/>
  <c r="L19" i="4" s="1"/>
  <c r="AA15" i="4"/>
  <c r="AA10" i="4"/>
  <c r="AA4" i="4"/>
  <c r="AA14" i="4"/>
  <c r="AA9" i="4"/>
  <c r="AD14" i="4"/>
  <c r="AD10" i="4"/>
  <c r="AD9" i="4"/>
  <c r="AD15" i="4"/>
  <c r="AD5" i="4"/>
  <c r="T7" i="4"/>
  <c r="T8" i="4"/>
  <c r="T9" i="4"/>
  <c r="T10" i="4"/>
  <c r="T11" i="4"/>
  <c r="T5" i="4"/>
  <c r="N18" i="4"/>
  <c r="K20" i="4"/>
  <c r="L20" i="4" s="1"/>
  <c r="K9" i="4"/>
  <c r="K5" i="4"/>
  <c r="N43" i="4"/>
  <c r="N38" i="4"/>
  <c r="N33" i="4"/>
  <c r="N28" i="4"/>
  <c r="N23" i="4"/>
  <c r="N13" i="4"/>
  <c r="N8" i="4"/>
  <c r="H12" i="4"/>
  <c r="H8" i="4"/>
  <c r="H4" i="4"/>
  <c r="B14" i="4"/>
  <c r="B9" i="4"/>
  <c r="B4" i="4"/>
  <c r="Q9" i="4"/>
  <c r="Q14" i="4"/>
  <c r="Q19" i="4"/>
  <c r="Q24" i="4"/>
  <c r="E6" i="4"/>
  <c r="E10" i="4"/>
  <c r="E11" i="4"/>
  <c r="E15" i="4"/>
  <c r="E16" i="4"/>
  <c r="E5" i="4"/>
  <c r="AJ6" i="4"/>
  <c r="AJ5" i="4"/>
  <c r="W7" i="4"/>
  <c r="W8" i="4"/>
  <c r="W9" i="4"/>
  <c r="W10" i="4"/>
  <c r="W11" i="4"/>
  <c r="W5" i="4"/>
  <c r="Q29" i="4"/>
  <c r="Q34" i="4"/>
  <c r="Q39" i="4"/>
  <c r="Q44" i="4"/>
  <c r="X6" i="4" l="1"/>
  <c r="R5" i="4"/>
  <c r="R6" i="4" s="1"/>
  <c r="L21" i="4"/>
  <c r="K13" i="4"/>
  <c r="L13" i="4" s="1"/>
  <c r="L14" i="4" s="1"/>
  <c r="AK13" i="4"/>
  <c r="AE5" i="4"/>
  <c r="AE6" i="4" s="1"/>
  <c r="AK5" i="4"/>
  <c r="AK6" i="4"/>
  <c r="AE9" i="4"/>
  <c r="AE10" i="4"/>
  <c r="AE14" i="4"/>
  <c r="AE15" i="4"/>
  <c r="Q45" i="4"/>
  <c r="R45" i="4" s="1"/>
  <c r="Q40" i="4"/>
  <c r="R40" i="4" s="1"/>
  <c r="Q35" i="4"/>
  <c r="R35" i="4" s="1"/>
  <c r="Q30" i="4"/>
  <c r="R30" i="4" s="1"/>
  <c r="Q25" i="4"/>
  <c r="R25" i="4" s="1"/>
  <c r="Q20" i="4"/>
  <c r="R20" i="4" s="1"/>
  <c r="Q15" i="4"/>
  <c r="R15" i="4" s="1"/>
  <c r="Q10" i="4"/>
  <c r="R10" i="4" s="1"/>
  <c r="X5" i="4"/>
  <c r="X11" i="4"/>
  <c r="X10" i="4"/>
  <c r="X9" i="4"/>
  <c r="X8" i="4"/>
  <c r="X7" i="4"/>
  <c r="R44" i="4"/>
  <c r="R39" i="4"/>
  <c r="R34" i="4"/>
  <c r="R29" i="4"/>
  <c r="R24" i="4"/>
  <c r="R19" i="4"/>
  <c r="R14" i="4"/>
  <c r="R9" i="4"/>
  <c r="L9" i="4"/>
  <c r="L10" i="4" s="1"/>
  <c r="L5" i="4"/>
  <c r="F5" i="4"/>
  <c r="F6" i="4"/>
  <c r="F10" i="4"/>
  <c r="F11" i="4"/>
  <c r="F15" i="4"/>
  <c r="F16" i="4"/>
  <c r="AK7" i="4" l="1"/>
  <c r="AE16" i="4"/>
  <c r="AE11" i="4"/>
  <c r="X12" i="4"/>
  <c r="R46" i="4"/>
  <c r="R41" i="4"/>
  <c r="R36" i="4"/>
  <c r="R31" i="4"/>
  <c r="R26" i="4"/>
  <c r="R21" i="4"/>
  <c r="R16" i="4"/>
  <c r="R11" i="4"/>
  <c r="L6" i="4"/>
  <c r="F17" i="4"/>
  <c r="F12" i="4"/>
  <c r="F7" i="4"/>
</calcChain>
</file>

<file path=xl/sharedStrings.xml><?xml version="1.0" encoding="utf-8"?>
<sst xmlns="http://schemas.openxmlformats.org/spreadsheetml/2006/main" count="586" uniqueCount="181">
  <si>
    <t>CIRCUITINHO BSB</t>
  </si>
  <si>
    <t>CÓD EVENTO</t>
  </si>
  <si>
    <t>item</t>
  </si>
  <si>
    <t>cód peça</t>
  </si>
  <si>
    <t>qtde</t>
  </si>
  <si>
    <t xml:space="preserve">área </t>
  </si>
  <si>
    <t>visual</t>
  </si>
  <si>
    <t>material</t>
  </si>
  <si>
    <t>acabamento</t>
  </si>
  <si>
    <t>medida do arquivo</t>
  </si>
  <si>
    <t>m²</t>
  </si>
  <si>
    <t>cód arquivo</t>
  </si>
  <si>
    <t>ARTE</t>
  </si>
  <si>
    <t>GRÁFICA</t>
  </si>
  <si>
    <t>OBSERVAÇÃO</t>
  </si>
  <si>
    <t>RESUMO</t>
  </si>
  <si>
    <t>2x1</t>
  </si>
  <si>
    <t>2x1 Ri Happy</t>
  </si>
  <si>
    <t>2x1_1</t>
  </si>
  <si>
    <t>SANETT</t>
  </si>
  <si>
    <t>ILHÓS</t>
  </si>
  <si>
    <t>*****</t>
  </si>
  <si>
    <t>reaaproveitar</t>
  </si>
  <si>
    <t>LONA</t>
  </si>
  <si>
    <t>2x1 Decathlon</t>
  </si>
  <si>
    <t>2x1_2</t>
  </si>
  <si>
    <t>Liberado</t>
  </si>
  <si>
    <t>OK</t>
  </si>
  <si>
    <t>ADESIVO</t>
  </si>
  <si>
    <t>2x1 GDF</t>
  </si>
  <si>
    <t>2x1_3</t>
  </si>
  <si>
    <t>TECIDO</t>
  </si>
  <si>
    <t>2x1 Transamérica</t>
  </si>
  <si>
    <t>2x1_4</t>
  </si>
  <si>
    <t>2x1 Caixa</t>
  </si>
  <si>
    <t>2x1_5</t>
  </si>
  <si>
    <t>2x1 Governo</t>
  </si>
  <si>
    <t>2x1_6</t>
  </si>
  <si>
    <t>2x1 Caixa (Poupançudos logo)</t>
  </si>
  <si>
    <t>2x1_7</t>
  </si>
  <si>
    <t>2x1 Caixa (Poupançudos bichinhos)</t>
  </si>
  <si>
    <t>2x1_8</t>
  </si>
  <si>
    <t>ROLO</t>
  </si>
  <si>
    <t>rolo Ri Happy</t>
  </si>
  <si>
    <t>rolo_1</t>
  </si>
  <si>
    <t xml:space="preserve">rolo Caixa </t>
  </si>
  <si>
    <t>rolo_2</t>
  </si>
  <si>
    <t>rolo Governo</t>
  </si>
  <si>
    <t>rolo_3</t>
  </si>
  <si>
    <t>rolo Transamerica</t>
  </si>
  <si>
    <t>rolo_4</t>
  </si>
  <si>
    <t>rolo Decathlon</t>
  </si>
  <si>
    <t>rolo_5</t>
  </si>
  <si>
    <t>rolo GDF</t>
  </si>
  <si>
    <t>rolo_6</t>
  </si>
  <si>
    <t>rolo Caixa (Poupançudos)</t>
  </si>
  <si>
    <t>rolo_7</t>
  </si>
  <si>
    <t>PALCO</t>
  </si>
  <si>
    <t>backdrop palco</t>
  </si>
  <si>
    <t>palco_1</t>
  </si>
  <si>
    <t>lona</t>
  </si>
  <si>
    <t>refile</t>
  </si>
  <si>
    <t>aplique superior</t>
  </si>
  <si>
    <t>palco_2</t>
  </si>
  <si>
    <t>adesivo</t>
  </si>
  <si>
    <t>impresso</t>
  </si>
  <si>
    <t>aplique palco menina</t>
  </si>
  <si>
    <t>palco_3</t>
  </si>
  <si>
    <t>aplique palco menino</t>
  </si>
  <si>
    <t>palco_4</t>
  </si>
  <si>
    <t>PÓRTICO</t>
  </si>
  <si>
    <t>Testeira portico</t>
  </si>
  <si>
    <t>test_por</t>
  </si>
  <si>
    <t>Lateral esq</t>
  </si>
  <si>
    <t>lat_dir</t>
  </si>
  <si>
    <t>Lateral dir</t>
  </si>
  <si>
    <t>lat_esq</t>
  </si>
  <si>
    <t>Qd fotos</t>
  </si>
  <si>
    <t>Quadro Informativo</t>
  </si>
  <si>
    <t>qd_1</t>
  </si>
  <si>
    <t>ilhós</t>
  </si>
  <si>
    <t>Quadro "colorir"</t>
  </si>
  <si>
    <t>qd_2</t>
  </si>
  <si>
    <t>Quadro de fotos Poupançudos</t>
  </si>
  <si>
    <t>qd_3</t>
  </si>
  <si>
    <t>STAND</t>
  </si>
  <si>
    <t>TESTEIRA CAIXA (Poupançudos)</t>
  </si>
  <si>
    <t>test_caixa</t>
  </si>
  <si>
    <t>Bk Caixa (Poupançudos)</t>
  </si>
  <si>
    <t>bk_caixa</t>
  </si>
  <si>
    <t>PERCURSO</t>
  </si>
  <si>
    <t>ARENA</t>
  </si>
  <si>
    <t>faixa de chegada</t>
  </si>
  <si>
    <t>fx_cheg</t>
  </si>
  <si>
    <t>tecido</t>
  </si>
  <si>
    <t>dupla face</t>
  </si>
  <si>
    <t>num pódio 1</t>
  </si>
  <si>
    <t>num_podio1</t>
  </si>
  <si>
    <t>recorte</t>
  </si>
  <si>
    <t>num pódio 2</t>
  </si>
  <si>
    <t>num_podio2</t>
  </si>
  <si>
    <t>num pódio 3</t>
  </si>
  <si>
    <t>num_podio3</t>
  </si>
  <si>
    <t>TESTEIRAS</t>
  </si>
  <si>
    <t>Testeira Guarda Volumes</t>
  </si>
  <si>
    <t>REAPROVEITAR</t>
  </si>
  <si>
    <t>Testeira Posto Médico</t>
  </si>
  <si>
    <t>Testeira Fraldário</t>
  </si>
  <si>
    <t>Testeira Vestiário FEM</t>
  </si>
  <si>
    <t>Testeira Vestiário MASC</t>
  </si>
  <si>
    <t>Testeira Hidratação</t>
  </si>
  <si>
    <t>Testeira ESPERA</t>
  </si>
  <si>
    <t>prismas</t>
  </si>
  <si>
    <t>Prisma "acesso a largada" seta adesivo</t>
  </si>
  <si>
    <t>HALTER</t>
  </si>
  <si>
    <t>ícone halter fundo</t>
  </si>
  <si>
    <t>ícone halter aplique halter</t>
  </si>
  <si>
    <t>ícone halter aplique superior</t>
  </si>
  <si>
    <t>ícone arco</t>
  </si>
  <si>
    <t>ícone photopp caixa</t>
  </si>
  <si>
    <t>PAINEL ROSTO</t>
  </si>
  <si>
    <t>painel menor menino fundo</t>
  </si>
  <si>
    <t>painel menor menino frente</t>
  </si>
  <si>
    <t>painel menor menina fundo</t>
  </si>
  <si>
    <t>painel menor menina frente</t>
  </si>
  <si>
    <t>painel maior fundo</t>
  </si>
  <si>
    <t>painel maior frente</t>
  </si>
  <si>
    <t>WINDBANNER</t>
  </si>
  <si>
    <t>Windbanner - Corridinha 50M</t>
  </si>
  <si>
    <t>Enviado</t>
  </si>
  <si>
    <t>Windbanner - Corridinha 100M</t>
  </si>
  <si>
    <t>Windbanner - Corridinha 200M</t>
  </si>
  <si>
    <t>Windbanner - Corridinha 400M</t>
  </si>
  <si>
    <t>Windbanner Poupançudos</t>
  </si>
  <si>
    <t>ativação amarelinha</t>
  </si>
  <si>
    <t>NOVA MEDIDA</t>
  </si>
  <si>
    <t>ESTANDES</t>
  </si>
  <si>
    <t>QUADROS</t>
  </si>
  <si>
    <t>TENDA</t>
  </si>
  <si>
    <t>ITEM</t>
  </si>
  <si>
    <t>MATERIAL</t>
  </si>
  <si>
    <t>M² UNIT</t>
  </si>
  <si>
    <t>M² TOTAL</t>
  </si>
  <si>
    <t>ESTANDE 6X6</t>
  </si>
  <si>
    <t>TESTEIRA</t>
  </si>
  <si>
    <t>PALCO 6X4</t>
  </si>
  <si>
    <t>BACKDROP</t>
  </si>
  <si>
    <t>PÓRTICO BOCA 2M</t>
  </si>
  <si>
    <t>QUADRO [2,60 x 2,60]</t>
  </si>
  <si>
    <t>TENDA 3X3</t>
  </si>
  <si>
    <t>2X1</t>
  </si>
  <si>
    <t>QUADRO [3 x 3]</t>
  </si>
  <si>
    <t>QUADRO [4,0 x 3,0]</t>
  </si>
  <si>
    <t>QUADRO [5,60 x 3,60]</t>
  </si>
  <si>
    <t>QTD</t>
  </si>
  <si>
    <t>qtd</t>
  </si>
  <si>
    <t>PALCO 8X4</t>
  </si>
  <si>
    <t>PÓRTICO BOCA 4M</t>
  </si>
  <si>
    <t>QUADRO [6,60 x 3,10]</t>
  </si>
  <si>
    <t>TENDA 5X5</t>
  </si>
  <si>
    <t>ESTANDE 9X6</t>
  </si>
  <si>
    <t>LATERAL</t>
  </si>
  <si>
    <t>QUADRO [6,60 x 3,60]</t>
  </si>
  <si>
    <t>BK</t>
  </si>
  <si>
    <t>QUADRO [7,60 x 3,60]</t>
  </si>
  <si>
    <t>DIVERSOS</t>
  </si>
  <si>
    <t>PALCO 21X9</t>
  </si>
  <si>
    <t>FAIXA DE CHEGADA</t>
  </si>
  <si>
    <t>PÓRTICO BOCA [4,3M]</t>
  </si>
  <si>
    <t>TENDA 10X10</t>
  </si>
  <si>
    <t>ESTANDE 11X6</t>
  </si>
  <si>
    <t># EDITAVEL #</t>
  </si>
  <si>
    <t>APLIQUE</t>
  </si>
  <si>
    <t>APLIQUE LONADO</t>
  </si>
  <si>
    <t>PÓRTICO BOCA [5M]</t>
  </si>
  <si>
    <t>APLIQUE ADESIVADO</t>
  </si>
  <si>
    <t>PÓRTICO BOCA [6M]</t>
  </si>
  <si>
    <t>PÓRTICO BOCA [6,6M]</t>
  </si>
  <si>
    <t>PÓRTICO BOCA[7M]</t>
  </si>
  <si>
    <t>PÓRTICO BOCA [8M]</t>
  </si>
  <si>
    <t>PÓRTICO BOCA [8,9M]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</si>
</sst>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-* #,##0.00_-;\-* #,##0.00_-;_-* \-??_-;_-@_-"/>
    <numFmt numFmtId="166" formatCode="_-&quot;R$ &quot;* #,##0.00_-;&quot;-R$ &quot;* #,##0.00_-;_-&quot;R$ &quot;* \-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i/>
      <sz val="11"/>
      <color theme="1"/>
      <name val="Calibri"/>
      <family val="2"/>
      <scheme val="minor"/>
    </font>
    <font>
      <b/>
      <sz val="12"/>
      <color rgb="FF000000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FF0000"/>
      <name val="Arial"/>
      <family val="2"/>
      <charset val="1"/>
    </font>
    <font>
      <i/>
      <sz val="11"/>
      <color rgb="FF7F7F7F"/>
      <name val="Calibri"/>
      <family val="2"/>
      <charset val="1"/>
    </font>
    <font>
      <sz val="10"/>
      <name val="Arial"/>
      <family val="2"/>
      <charset val="1"/>
    </font>
    <font>
      <b/>
      <sz val="2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b/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name val="Arial"/>
      <charset val="1"/>
    </font>
    <font>
      <b/>
      <sz val="10"/>
      <name val="Arial"/>
      <charset val="1"/>
    </font>
    <font>
      <b/>
      <sz val="9"/>
      <color theme="1"/>
      <name val="Calibri"/>
      <family val="2"/>
      <scheme val="minor"/>
    </font>
    <font>
      <sz val="11"/>
      <color rgb="FFFF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4" fillId="0" borderId="0"/>
    <xf numFmtId="44" fontId="1" fillId="0" borderId="0" applyFont="0" applyFill="0" applyBorder="0" applyAlignment="0" applyProtection="0"/>
    <xf numFmtId="0" fontId="10" fillId="0" borderId="0" applyBorder="0" applyProtection="0"/>
    <xf numFmtId="0" fontId="4" fillId="0" borderId="0"/>
    <xf numFmtId="43" fontId="1" fillId="0" borderId="0" applyFont="0" applyFill="0" applyBorder="0" applyAlignment="0" applyProtection="0"/>
    <xf numFmtId="165" fontId="11" fillId="0" borderId="0" applyBorder="0" applyProtection="0"/>
    <xf numFmtId="0" fontId="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Border="0" applyProtection="0"/>
    <xf numFmtId="0" fontId="15" fillId="0" borderId="0"/>
    <xf numFmtId="0" fontId="16" fillId="0" borderId="0" applyNumberFormat="0" applyFill="0" applyBorder="0" applyAlignment="0" applyProtection="0"/>
  </cellStyleXfs>
  <cellXfs count="173">
    <xf numFmtId="0" fontId="0" fillId="0" borderId="0" xfId="0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1" applyFont="1" applyBorder="1"/>
    <xf numFmtId="0" fontId="3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5" xfId="0" applyBorder="1"/>
    <xf numFmtId="2" fontId="0" fillId="0" borderId="5" xfId="0" applyNumberFormat="1" applyBorder="1"/>
    <xf numFmtId="0" fontId="0" fillId="0" borderId="10" xfId="0" applyBorder="1"/>
    <xf numFmtId="0" fontId="0" fillId="2" borderId="4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0" borderId="8" xfId="1" applyFont="1" applyBorder="1"/>
    <xf numFmtId="0" fontId="0" fillId="4" borderId="2" xfId="0" applyFill="1" applyBorder="1" applyAlignment="1">
      <alignment vertical="center"/>
    </xf>
    <xf numFmtId="0" fontId="0" fillId="4" borderId="5" xfId="0" applyFill="1" applyBorder="1"/>
    <xf numFmtId="0" fontId="0" fillId="4" borderId="5" xfId="0" applyFill="1" applyBorder="1" applyAlignment="1">
      <alignment vertical="center"/>
    </xf>
    <xf numFmtId="0" fontId="0" fillId="2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0" borderId="5" xfId="1" applyFont="1" applyBorder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2" fontId="5" fillId="0" borderId="2" xfId="1" applyNumberFormat="1" applyFont="1" applyBorder="1"/>
    <xf numFmtId="2" fontId="5" fillId="0" borderId="5" xfId="1" applyNumberFormat="1" applyFont="1" applyBorder="1"/>
    <xf numFmtId="2" fontId="0" fillId="0" borderId="2" xfId="0" applyNumberFormat="1" applyBorder="1" applyAlignment="1">
      <alignment horizontal="center"/>
    </xf>
    <xf numFmtId="0" fontId="0" fillId="4" borderId="16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10" xfId="0" applyFill="1" applyBorder="1"/>
    <xf numFmtId="2" fontId="0" fillId="0" borderId="1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5" fillId="0" borderId="16" xfId="1" applyFont="1" applyBorder="1"/>
    <xf numFmtId="0" fontId="8" fillId="0" borderId="0" xfId="0" applyFont="1"/>
    <xf numFmtId="0" fontId="8" fillId="5" borderId="0" xfId="0" applyFont="1" applyFill="1"/>
    <xf numFmtId="0" fontId="5" fillId="0" borderId="0" xfId="1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5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2" fontId="7" fillId="8" borderId="0" xfId="0" applyNumberFormat="1" applyFont="1" applyFill="1" applyAlignment="1">
      <alignment horizontal="center"/>
    </xf>
    <xf numFmtId="2" fontId="14" fillId="7" borderId="0" xfId="0" applyNumberFormat="1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14" fillId="7" borderId="2" xfId="0" applyNumberFormat="1" applyFont="1" applyFill="1" applyBorder="1" applyAlignment="1">
      <alignment horizontal="left"/>
    </xf>
    <xf numFmtId="0" fontId="8" fillId="5" borderId="2" xfId="0" applyFont="1" applyFill="1" applyBorder="1"/>
    <xf numFmtId="2" fontId="8" fillId="5" borderId="2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/>
    </xf>
    <xf numFmtId="2" fontId="7" fillId="9" borderId="2" xfId="0" applyNumberFormat="1" applyFont="1" applyFill="1" applyBorder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2" fontId="14" fillId="7" borderId="2" xfId="0" applyNumberFormat="1" applyFont="1" applyFill="1" applyBorder="1" applyAlignment="1">
      <alignment horizontal="center"/>
    </xf>
    <xf numFmtId="0" fontId="0" fillId="7" borderId="0" xfId="0" applyFill="1"/>
    <xf numFmtId="0" fontId="8" fillId="7" borderId="0" xfId="0" applyFont="1" applyFill="1"/>
    <xf numFmtId="0" fontId="2" fillId="7" borderId="0" xfId="0" applyFont="1" applyFill="1" applyAlignment="1">
      <alignment horizontal="center"/>
    </xf>
    <xf numFmtId="164" fontId="0" fillId="7" borderId="0" xfId="0" applyNumberFormat="1" applyFill="1"/>
    <xf numFmtId="0" fontId="13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2" fontId="14" fillId="7" borderId="4" xfId="0" applyNumberFormat="1" applyFont="1" applyFill="1" applyBorder="1" applyAlignment="1">
      <alignment horizontal="left"/>
    </xf>
    <xf numFmtId="2" fontId="0" fillId="7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2" fontId="14" fillId="7" borderId="5" xfId="0" applyNumberFormat="1" applyFont="1" applyFill="1" applyBorder="1" applyAlignment="1">
      <alignment horizontal="left"/>
    </xf>
    <xf numFmtId="0" fontId="0" fillId="7" borderId="5" xfId="0" applyFill="1" applyBorder="1"/>
    <xf numFmtId="0" fontId="0" fillId="7" borderId="16" xfId="0" applyFill="1" applyBorder="1"/>
    <xf numFmtId="2" fontId="14" fillId="7" borderId="4" xfId="0" applyNumberFormat="1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8" fillId="5" borderId="5" xfId="0" applyFont="1" applyFill="1" applyBorder="1"/>
    <xf numFmtId="2" fontId="8" fillId="5" borderId="5" xfId="0" applyNumberFormat="1" applyFont="1" applyFill="1" applyBorder="1" applyAlignment="1">
      <alignment horizontal="center"/>
    </xf>
    <xf numFmtId="164" fontId="8" fillId="5" borderId="5" xfId="0" applyNumberFormat="1" applyFont="1" applyFill="1" applyBorder="1" applyAlignment="1">
      <alignment horizontal="center"/>
    </xf>
    <xf numFmtId="0" fontId="8" fillId="5" borderId="4" xfId="0" applyFont="1" applyFill="1" applyBorder="1"/>
    <xf numFmtId="2" fontId="8" fillId="5" borderId="4" xfId="0" applyNumberFormat="1" applyFont="1" applyFill="1" applyBorder="1" applyAlignment="1">
      <alignment horizontal="center"/>
    </xf>
    <xf numFmtId="164" fontId="8" fillId="5" borderId="4" xfId="0" applyNumberFormat="1" applyFont="1" applyFill="1" applyBorder="1" applyAlignment="1">
      <alignment horizontal="center"/>
    </xf>
    <xf numFmtId="164" fontId="8" fillId="2" borderId="0" xfId="0" applyNumberFormat="1" applyFont="1" applyFill="1"/>
    <xf numFmtId="0" fontId="18" fillId="5" borderId="4" xfId="0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2" fontId="14" fillId="7" borderId="5" xfId="0" applyNumberFormat="1" applyFont="1" applyFill="1" applyBorder="1" applyAlignment="1">
      <alignment horizontal="center"/>
    </xf>
    <xf numFmtId="2" fontId="14" fillId="7" borderId="16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2" fontId="14" fillId="7" borderId="1" xfId="0" applyNumberFormat="1" applyFont="1" applyFill="1" applyBorder="1" applyAlignment="1">
      <alignment horizontal="left"/>
    </xf>
    <xf numFmtId="2" fontId="14" fillId="7" borderId="7" xfId="0" applyNumberFormat="1" applyFont="1" applyFill="1" applyBorder="1" applyAlignment="1">
      <alignment horizontal="left"/>
    </xf>
    <xf numFmtId="0" fontId="0" fillId="7" borderId="14" xfId="0" applyFill="1" applyBorder="1"/>
    <xf numFmtId="0" fontId="21" fillId="0" borderId="5" xfId="0" applyFont="1" applyBorder="1" applyAlignment="1">
      <alignment vertical="center"/>
    </xf>
    <xf numFmtId="0" fontId="0" fillId="0" borderId="18" xfId="0" applyBorder="1"/>
    <xf numFmtId="0" fontId="0" fillId="0" borderId="8" xfId="0" applyBorder="1"/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0" fillId="11" borderId="8" xfId="0" applyFill="1" applyBorder="1"/>
    <xf numFmtId="0" fontId="0" fillId="11" borderId="5" xfId="0" applyFill="1" applyBorder="1"/>
    <xf numFmtId="0" fontId="0" fillId="11" borderId="5" xfId="0" applyFill="1" applyBorder="1" applyAlignment="1">
      <alignment horizontal="center"/>
    </xf>
    <xf numFmtId="2" fontId="0" fillId="11" borderId="5" xfId="0" applyNumberFormat="1" applyFill="1" applyBorder="1" applyAlignment="1">
      <alignment horizontal="center"/>
    </xf>
    <xf numFmtId="2" fontId="14" fillId="11" borderId="5" xfId="0" applyNumberFormat="1" applyFont="1" applyFill="1" applyBorder="1" applyAlignment="1">
      <alignment horizontal="left"/>
    </xf>
    <xf numFmtId="0" fontId="0" fillId="7" borderId="7" xfId="0" applyFill="1" applyBorder="1" applyAlignment="1">
      <alignment horizontal="center"/>
    </xf>
    <xf numFmtId="2" fontId="8" fillId="5" borderId="0" xfId="0" applyNumberFormat="1" applyFont="1" applyFill="1" applyAlignment="1">
      <alignment horizontal="center"/>
    </xf>
    <xf numFmtId="164" fontId="8" fillId="5" borderId="0" xfId="0" applyNumberFormat="1" applyFont="1" applyFill="1" applyAlignment="1">
      <alignment horizontal="center"/>
    </xf>
    <xf numFmtId="0" fontId="13" fillId="7" borderId="5" xfId="0" applyFont="1" applyFill="1" applyBorder="1"/>
    <xf numFmtId="0" fontId="13" fillId="7" borderId="5" xfId="0" applyFont="1" applyFill="1" applyBorder="1" applyAlignment="1">
      <alignment horizontal="center"/>
    </xf>
    <xf numFmtId="2" fontId="13" fillId="7" borderId="5" xfId="0" applyNumberFormat="1" applyFont="1" applyFill="1" applyBorder="1" applyAlignment="1">
      <alignment horizontal="center"/>
    </xf>
    <xf numFmtId="2" fontId="3" fillId="10" borderId="5" xfId="0" applyNumberFormat="1" applyFont="1" applyFill="1" applyBorder="1" applyAlignment="1">
      <alignment horizontal="center"/>
    </xf>
    <xf numFmtId="0" fontId="22" fillId="7" borderId="5" xfId="0" applyFont="1" applyFill="1" applyBorder="1"/>
    <xf numFmtId="0" fontId="8" fillId="9" borderId="4" xfId="0" applyFont="1" applyFill="1" applyBorder="1"/>
    <xf numFmtId="0" fontId="7" fillId="9" borderId="4" xfId="0" applyFont="1" applyFill="1" applyBorder="1" applyAlignment="1">
      <alignment horizontal="center"/>
    </xf>
    <xf numFmtId="2" fontId="7" fillId="9" borderId="4" xfId="0" applyNumberFormat="1" applyFont="1" applyFill="1" applyBorder="1" applyAlignment="1">
      <alignment horizontal="center"/>
    </xf>
    <xf numFmtId="0" fontId="0" fillId="7" borderId="20" xfId="0" applyFill="1" applyBorder="1"/>
    <xf numFmtId="0" fontId="0" fillId="7" borderId="21" xfId="0" applyFill="1" applyBorder="1"/>
    <xf numFmtId="0" fontId="9" fillId="7" borderId="0" xfId="0" applyFont="1" applyFill="1" applyAlignment="1">
      <alignment horizontal="center"/>
    </xf>
    <xf numFmtId="0" fontId="25" fillId="0" borderId="10" xfId="0" applyFont="1" applyBorder="1" applyAlignment="1">
      <alignment horizontal="center" vertical="center"/>
    </xf>
    <xf numFmtId="2" fontId="26" fillId="7" borderId="2" xfId="0" applyNumberFormat="1" applyFont="1" applyFill="1" applyBorder="1" applyAlignment="1">
      <alignment horizontal="center"/>
    </xf>
    <xf numFmtId="2" fontId="26" fillId="7" borderId="16" xfId="0" applyNumberFormat="1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21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2" fontId="14" fillId="2" borderId="5" xfId="0" applyNumberFormat="1" applyFont="1" applyFill="1" applyBorder="1" applyAlignment="1">
      <alignment horizontal="left"/>
    </xf>
    <xf numFmtId="164" fontId="2" fillId="7" borderId="0" xfId="0" applyNumberFormat="1" applyFont="1" applyFill="1" applyAlignment="1">
      <alignment horizontal="center" vertical="center"/>
    </xf>
    <xf numFmtId="2" fontId="7" fillId="9" borderId="4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23" fillId="5" borderId="7" xfId="0" applyFont="1" applyFill="1" applyBorder="1" applyAlignment="1">
      <alignment horizontal="center" vertical="center"/>
    </xf>
    <xf numFmtId="0" fontId="23" fillId="5" borderId="19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</cellXfs>
  <cellStyles count="45">
    <cellStyle name="Moeda 10" xfId="42" xr:uid="{3A88C308-B937-466E-96A8-D7C36E6E419E}"/>
    <cellStyle name="Moeda 2" xfId="2" xr:uid="{E475AF28-C82B-4193-BF3E-C6C800488A9A}"/>
    <cellStyle name="Moeda 2 2" xfId="12" xr:uid="{3ECC3DF6-23D7-4C20-99C7-DB13C86E8597}"/>
    <cellStyle name="Moeda 2 3" xfId="18" xr:uid="{9068C02D-FEF1-4A83-B488-F986A3661BC8}"/>
    <cellStyle name="Moeda 2 4" xfId="24" xr:uid="{19E9CE2F-8A8D-4B80-99AE-4E3F7FEA1598}"/>
    <cellStyle name="Moeda 2 5" xfId="30" xr:uid="{C733049C-A029-48E1-9ABB-D18D70F9D422}"/>
    <cellStyle name="Moeda 2 6" xfId="36" xr:uid="{9D020F42-5584-4B98-836D-036E103C0AC8}"/>
    <cellStyle name="Moeda 3" xfId="10" xr:uid="{763CB35B-BFDB-4DC7-8C2C-9A3E87944F72}"/>
    <cellStyle name="Moeda 3 2" xfId="16" xr:uid="{978ABCC1-90BF-4094-ACCE-7282713CAA15}"/>
    <cellStyle name="Moeda 3 3" xfId="22" xr:uid="{0725E777-6049-4BE4-9C52-022F44A67545}"/>
    <cellStyle name="Moeda 3 4" xfId="28" xr:uid="{37981693-B4D8-43C5-A809-F8F933E5646D}"/>
    <cellStyle name="Moeda 3 5" xfId="34" xr:uid="{4390580B-E98E-44B1-9FFF-5159F75734CC}"/>
    <cellStyle name="Moeda 3 6" xfId="40" xr:uid="{1F4773BC-DDC5-45A7-851D-0724EF2D7AE3}"/>
    <cellStyle name="Moeda 4" xfId="9" xr:uid="{727544D0-E06A-477B-B779-C3ED33C9BF23}"/>
    <cellStyle name="Moeda 5" xfId="15" xr:uid="{B4555F64-4330-487C-BC38-8AD2C51BE625}"/>
    <cellStyle name="Moeda 6" xfId="21" xr:uid="{FB781FEC-3275-49F9-B712-6463DA69E57F}"/>
    <cellStyle name="Moeda 7" xfId="27" xr:uid="{E809AE81-F574-4319-BF25-20439D7D59FB}"/>
    <cellStyle name="Moeda 8" xfId="33" xr:uid="{DFBA6060-1997-4EEC-A4C2-3875279F25F0}"/>
    <cellStyle name="Moeda 9" xfId="39" xr:uid="{CDCFC537-0F13-4248-8394-B67263A03848}"/>
    <cellStyle name="Normal" xfId="0" builtinId="0"/>
    <cellStyle name="Normal 2" xfId="1" xr:uid="{C6A20D59-FDB5-43AE-B186-1B881B670739}"/>
    <cellStyle name="Normal 2 2" xfId="4" xr:uid="{D008EA66-20CF-4B16-8E68-A3C333CD290F}"/>
    <cellStyle name="Normal 3" xfId="43" xr:uid="{A41C7242-485E-4131-95F2-A1CADE241408}"/>
    <cellStyle name="Texto Explicativo 2" xfId="3" xr:uid="{CD18E15D-7A05-4A47-B893-750452C03D5D}"/>
    <cellStyle name="Texto Explicativo 5" xfId="7" xr:uid="{F6402BAC-BAD2-4CB7-8C1B-9A08273794FB}"/>
    <cellStyle name="Título 5" xfId="44" xr:uid="{7C3DDCD0-BAA3-46CA-A07B-53B8332AF687}"/>
    <cellStyle name="Vírgula 2" xfId="5" xr:uid="{A24A644B-E839-42A4-9B0D-C2A88BA6C789}"/>
    <cellStyle name="Vírgula 2 2" xfId="13" xr:uid="{7777A6BE-C29E-4734-AF13-6091BAB9C3DE}"/>
    <cellStyle name="Vírgula 2 3" xfId="19" xr:uid="{41188330-DCD5-4B5D-AC7B-1B09ED596E01}"/>
    <cellStyle name="Vírgula 2 4" xfId="25" xr:uid="{675893EA-5444-4A21-B259-3944B7CFD6A2}"/>
    <cellStyle name="Vírgula 2 5" xfId="6" xr:uid="{0DAE3E8E-7307-4E39-A5B8-68602A93489C}"/>
    <cellStyle name="Vírgula 2 6" xfId="31" xr:uid="{DD631D5F-2AC0-4AF7-8231-B80108DE724F}"/>
    <cellStyle name="Vírgula 2 7" xfId="37" xr:uid="{E27F2AF4-C333-4903-82E7-BA32AE0A08E5}"/>
    <cellStyle name="Vírgula 3" xfId="11" xr:uid="{FC8DDBB1-77BC-4B17-8AD0-5715128CDDB5}"/>
    <cellStyle name="Vírgula 3 2" xfId="17" xr:uid="{D2FCC685-747D-4E95-B2A2-614DC96086DB}"/>
    <cellStyle name="Vírgula 3 3" xfId="23" xr:uid="{AB1F410E-9279-48B0-948C-1B453A144DB9}"/>
    <cellStyle name="Vírgula 3 4" xfId="29" xr:uid="{C2CBB3BA-6DEE-4364-9939-69DE703D7DF1}"/>
    <cellStyle name="Vírgula 3 5" xfId="35" xr:uid="{3B8603F9-4908-426B-8E2C-D3EB5EBCC91B}"/>
    <cellStyle name="Vírgula 3 6" xfId="41" xr:uid="{8C2F87F9-2E71-4038-A545-854F2FDB9259}"/>
    <cellStyle name="Vírgula 4" xfId="8" xr:uid="{7C6E69B0-8333-488F-AF2F-2684FBB19DB2}"/>
    <cellStyle name="Vírgula 5" xfId="14" xr:uid="{B01B3D0B-4CB6-49DE-ADB7-AA1D5FE0D036}"/>
    <cellStyle name="Vírgula 6" xfId="20" xr:uid="{E75C2D4B-B513-41DB-93B1-F6D3C06BD914}"/>
    <cellStyle name="Vírgula 7" xfId="26" xr:uid="{591938C4-686E-4A12-AA4B-D5968D088485}"/>
    <cellStyle name="Vírgula 8" xfId="32" xr:uid="{EA083401-694D-46DC-8C70-B5D10808EA77}"/>
    <cellStyle name="Vírgula 9" xfId="38" xr:uid="{7561E2E6-0362-4FBE-85CA-C0B0BC883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9D9D-7445-4B49-B72B-384045048283}">
  <dimension ref="A1:Z66"/>
  <sheetViews>
    <sheetView showGridLines="0" tabSelected="1" topLeftCell="A33" zoomScale="115" zoomScaleNormal="90" workbookViewId="0">
      <selection activeCell="O66" sqref="O66"/>
    </sheetView>
  </sheetViews>
  <sheetFormatPr defaultColWidth="8.85546875" defaultRowHeight="15"/>
  <cols>
    <col min="1" max="1" width="8.7109375" style="49" customWidth="1"/>
    <col min="2" max="2" width="14.42578125" style="50" customWidth="1"/>
    <col min="3" max="3" width="31.5703125" customWidth="1"/>
    <col min="4" max="4" width="9.42578125" customWidth="1"/>
    <col min="5" max="5" width="5.140625" style="2" customWidth="1"/>
    <col min="6" max="6" width="9.7109375" style="2" customWidth="1"/>
    <col min="7" max="7" width="6.28515625" style="2" customWidth="1"/>
    <col min="8" max="8" width="10.140625" style="2" bestFit="1" customWidth="1"/>
    <col min="9" max="9" width="9.28515625" style="2" customWidth="1"/>
    <col min="10" max="10" width="6.85546875" style="22" customWidth="1"/>
    <col min="11" max="11" width="7.28515625" style="22" customWidth="1"/>
    <col min="12" max="12" width="7.42578125" style="22" customWidth="1"/>
    <col min="13" max="13" width="16.85546875" style="22" customWidth="1"/>
    <col min="14" max="14" width="13.28515625" style="22" customWidth="1"/>
    <col min="15" max="15" width="11.5703125" style="22" bestFit="1" customWidth="1"/>
    <col min="16" max="16" width="18" style="22" bestFit="1" customWidth="1"/>
    <col min="17" max="17" width="15.140625" style="53" customWidth="1"/>
    <col min="18" max="18" width="20.42578125" customWidth="1"/>
    <col min="19" max="19" width="16.7109375" bestFit="1" customWidth="1"/>
    <col min="20" max="20" width="19.140625" bestFit="1" customWidth="1"/>
    <col min="21" max="21" width="16.42578125" bestFit="1" customWidth="1"/>
    <col min="22" max="22" width="15.85546875" bestFit="1" customWidth="1"/>
    <col min="23" max="23" width="12.42578125" bestFit="1" customWidth="1"/>
  </cols>
  <sheetData>
    <row r="1" spans="1:26" ht="32.25" customHeight="1">
      <c r="A1" s="153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</row>
    <row r="2" spans="1:26" s="43" customFormat="1" ht="7.5" customHeight="1">
      <c r="A2" s="46"/>
      <c r="B2" s="47"/>
      <c r="C2"/>
      <c r="D2"/>
      <c r="E2" s="2"/>
      <c r="F2" s="2"/>
      <c r="G2" s="2"/>
      <c r="H2" s="2"/>
      <c r="I2" s="2"/>
      <c r="J2" s="22"/>
      <c r="K2" s="22"/>
      <c r="L2" s="22"/>
      <c r="M2" s="22"/>
      <c r="N2" s="22"/>
      <c r="O2" s="22"/>
      <c r="P2" s="22"/>
      <c r="Q2" s="53"/>
      <c r="R2"/>
      <c r="S2"/>
      <c r="T2"/>
      <c r="U2"/>
      <c r="V2"/>
    </row>
    <row r="3" spans="1:26" s="44" customFormat="1" ht="15.75" customHeight="1">
      <c r="A3" s="48" t="s">
        <v>1</v>
      </c>
      <c r="B3" s="92"/>
      <c r="C3" s="122" t="s">
        <v>2</v>
      </c>
      <c r="D3" s="122" t="s">
        <v>3</v>
      </c>
      <c r="E3" s="123" t="s">
        <v>4</v>
      </c>
      <c r="F3" s="123" t="s">
        <v>5</v>
      </c>
      <c r="G3" s="123" t="s">
        <v>6</v>
      </c>
      <c r="H3" s="123" t="s">
        <v>7</v>
      </c>
      <c r="I3" s="123" t="s">
        <v>8</v>
      </c>
      <c r="J3" s="136" t="s">
        <v>9</v>
      </c>
      <c r="K3" s="136"/>
      <c r="L3" s="124" t="s">
        <v>10</v>
      </c>
      <c r="M3" s="124" t="s">
        <v>11</v>
      </c>
      <c r="N3" s="124" t="s">
        <v>12</v>
      </c>
      <c r="O3" s="58" t="s">
        <v>13</v>
      </c>
      <c r="P3" s="58" t="s">
        <v>14</v>
      </c>
      <c r="Q3" s="51"/>
      <c r="R3" s="137" t="s">
        <v>15</v>
      </c>
      <c r="S3" s="137"/>
      <c r="T3" s="137"/>
      <c r="U3" s="137"/>
      <c r="V3" s="43"/>
    </row>
    <row r="4" spans="1:26" s="44" customFormat="1" ht="15.75" customHeight="1">
      <c r="A4" s="82" t="s">
        <v>0</v>
      </c>
      <c r="B4" s="138" t="s">
        <v>16</v>
      </c>
      <c r="C4" s="117" t="s">
        <v>17</v>
      </c>
      <c r="D4" s="117" t="s">
        <v>18</v>
      </c>
      <c r="E4" s="118">
        <v>4</v>
      </c>
      <c r="F4" s="119">
        <v>1.9</v>
      </c>
      <c r="G4" s="119">
        <v>0.9</v>
      </c>
      <c r="H4" s="95" t="s">
        <v>19</v>
      </c>
      <c r="I4" s="95" t="s">
        <v>20</v>
      </c>
      <c r="J4" s="96">
        <v>1.9</v>
      </c>
      <c r="K4" s="96">
        <v>0.9</v>
      </c>
      <c r="L4" s="96">
        <f>K4*J4*E4</f>
        <v>6.84</v>
      </c>
      <c r="M4" s="75" t="str">
        <f t="shared" ref="M4:M5" si="0">A4&amp;D4</f>
        <v>CIRCUITINHO BSB2x1_1</v>
      </c>
      <c r="N4" s="120"/>
      <c r="O4" s="97" t="s">
        <v>21</v>
      </c>
      <c r="P4" s="62" t="s">
        <v>22</v>
      </c>
      <c r="Q4" s="52"/>
      <c r="R4" s="55" t="s">
        <v>23</v>
      </c>
      <c r="S4" s="56">
        <f>SUMIF(H4:H326,"lona",L4:L326)</f>
        <v>240.65960000000007</v>
      </c>
      <c r="T4" s="57">
        <v>32</v>
      </c>
      <c r="U4" s="57">
        <f>T4*S4</f>
        <v>7701.1072000000022</v>
      </c>
    </row>
    <row r="5" spans="1:26" s="44" customFormat="1" ht="15.75" customHeight="1">
      <c r="A5" s="82" t="s">
        <v>0</v>
      </c>
      <c r="B5" s="139"/>
      <c r="C5" s="76" t="s">
        <v>24</v>
      </c>
      <c r="D5" s="117" t="s">
        <v>25</v>
      </c>
      <c r="E5" s="74">
        <v>2</v>
      </c>
      <c r="F5" s="119">
        <v>1.9</v>
      </c>
      <c r="G5" s="119">
        <v>0.9</v>
      </c>
      <c r="H5" s="95" t="s">
        <v>19</v>
      </c>
      <c r="I5" s="95" t="s">
        <v>20</v>
      </c>
      <c r="J5" s="96">
        <v>1.9</v>
      </c>
      <c r="K5" s="96">
        <v>0.9</v>
      </c>
      <c r="L5" s="96">
        <f>K5*J5*E5</f>
        <v>3.42</v>
      </c>
      <c r="M5" s="75" t="str">
        <f t="shared" si="0"/>
        <v>CIRCUITINHO BSB2x1_2</v>
      </c>
      <c r="N5" s="120" t="s">
        <v>26</v>
      </c>
      <c r="O5" s="97" t="s">
        <v>27</v>
      </c>
      <c r="P5" s="62"/>
      <c r="Q5" s="52"/>
      <c r="R5" s="88" t="s">
        <v>28</v>
      </c>
      <c r="S5" s="89">
        <f>SUMIF(H4:H328,"adesivo",L4:L328)</f>
        <v>34.685400000000001</v>
      </c>
      <c r="T5" s="90">
        <v>60</v>
      </c>
      <c r="U5" s="90">
        <f>T5*S5</f>
        <v>2081.1240000000003</v>
      </c>
    </row>
    <row r="6" spans="1:26" s="44" customFormat="1" ht="15.75" customHeight="1">
      <c r="A6" s="82" t="s">
        <v>0</v>
      </c>
      <c r="B6" s="139"/>
      <c r="C6" s="76" t="s">
        <v>29</v>
      </c>
      <c r="D6" s="117" t="s">
        <v>30</v>
      </c>
      <c r="E6" s="74">
        <v>2</v>
      </c>
      <c r="F6" s="119">
        <v>1.9</v>
      </c>
      <c r="G6" s="119">
        <v>0.9</v>
      </c>
      <c r="H6" s="95" t="s">
        <v>19</v>
      </c>
      <c r="I6" s="95" t="s">
        <v>20</v>
      </c>
      <c r="J6" s="96">
        <v>1.9</v>
      </c>
      <c r="K6" s="96">
        <v>0.9</v>
      </c>
      <c r="L6" s="96">
        <f>K6*J6*E6</f>
        <v>3.42</v>
      </c>
      <c r="M6" s="75" t="str">
        <f>A5&amp;D6</f>
        <v>CIRCUITINHO BSB2x1_3</v>
      </c>
      <c r="N6" s="120" t="s">
        <v>26</v>
      </c>
      <c r="O6" s="130" t="s">
        <v>27</v>
      </c>
      <c r="P6" s="62"/>
      <c r="Q6" s="53"/>
      <c r="R6" s="85" t="s">
        <v>31</v>
      </c>
      <c r="S6" s="86">
        <f>SUMIF(H4:H329,"tecido",L4:L329)</f>
        <v>1.2000000000000002</v>
      </c>
      <c r="T6" s="87">
        <v>32</v>
      </c>
      <c r="U6" s="87">
        <f>T6*S6</f>
        <v>38.400000000000006</v>
      </c>
    </row>
    <row r="7" spans="1:26" s="44" customFormat="1" ht="15.75" customHeight="1">
      <c r="A7" s="82" t="s">
        <v>0</v>
      </c>
      <c r="B7" s="139"/>
      <c r="C7" s="76" t="s">
        <v>32</v>
      </c>
      <c r="D7" s="117" t="s">
        <v>33</v>
      </c>
      <c r="E7" s="74">
        <v>2</v>
      </c>
      <c r="F7" s="119">
        <v>1.9</v>
      </c>
      <c r="G7" s="119">
        <v>0.9</v>
      </c>
      <c r="H7" s="95" t="s">
        <v>19</v>
      </c>
      <c r="I7" s="95" t="s">
        <v>20</v>
      </c>
      <c r="J7" s="96">
        <v>1.9</v>
      </c>
      <c r="K7" s="96">
        <v>0.9</v>
      </c>
      <c r="L7" s="96">
        <f>K7*J7*E7</f>
        <v>3.42</v>
      </c>
      <c r="M7" s="75" t="str">
        <f>A6&amp;D7</f>
        <v>CIRCUITINHO BSB2x1_4</v>
      </c>
      <c r="N7" s="120" t="s">
        <v>26</v>
      </c>
      <c r="O7" s="130" t="s">
        <v>27</v>
      </c>
      <c r="P7" s="62"/>
      <c r="Q7" s="53"/>
      <c r="S7" s="115"/>
      <c r="T7" s="116"/>
      <c r="U7" s="116"/>
    </row>
    <row r="8" spans="1:26" s="44" customFormat="1" ht="15.75" customHeight="1">
      <c r="A8" s="82" t="s">
        <v>0</v>
      </c>
      <c r="B8" s="139"/>
      <c r="C8" s="76" t="s">
        <v>34</v>
      </c>
      <c r="D8" s="117" t="s">
        <v>35</v>
      </c>
      <c r="E8" s="74">
        <v>6</v>
      </c>
      <c r="F8" s="119">
        <v>1.9</v>
      </c>
      <c r="G8" s="119">
        <v>0.9</v>
      </c>
      <c r="H8" s="95" t="s">
        <v>19</v>
      </c>
      <c r="I8" s="95" t="s">
        <v>20</v>
      </c>
      <c r="J8" s="96">
        <v>1.9</v>
      </c>
      <c r="K8" s="96">
        <v>0.9</v>
      </c>
      <c r="L8" s="96">
        <f t="shared" ref="L8:L9" si="1">K8*J8*E8</f>
        <v>10.26</v>
      </c>
      <c r="M8" s="75" t="str">
        <f t="shared" ref="M8:M9" si="2">A7&amp;D8</f>
        <v>CIRCUITINHO BSB2x1_5</v>
      </c>
      <c r="N8" s="120" t="s">
        <v>26</v>
      </c>
      <c r="O8" s="97" t="s">
        <v>27</v>
      </c>
      <c r="P8" s="62"/>
      <c r="Q8" s="53"/>
      <c r="S8" s="115"/>
      <c r="T8" s="116"/>
      <c r="U8" s="116"/>
    </row>
    <row r="9" spans="1:26" s="44" customFormat="1" ht="15.75" customHeight="1">
      <c r="A9" s="82" t="s">
        <v>0</v>
      </c>
      <c r="B9" s="139"/>
      <c r="C9" s="76" t="s">
        <v>36</v>
      </c>
      <c r="D9" s="117" t="s">
        <v>37</v>
      </c>
      <c r="E9" s="74">
        <v>6</v>
      </c>
      <c r="F9" s="119">
        <v>1.9</v>
      </c>
      <c r="G9" s="119">
        <v>0.9</v>
      </c>
      <c r="H9" s="95" t="s">
        <v>19</v>
      </c>
      <c r="I9" s="95" t="s">
        <v>20</v>
      </c>
      <c r="J9" s="96">
        <v>1.9</v>
      </c>
      <c r="K9" s="96">
        <v>0.9</v>
      </c>
      <c r="L9" s="96">
        <f t="shared" si="1"/>
        <v>10.26</v>
      </c>
      <c r="M9" s="75" t="str">
        <f t="shared" si="2"/>
        <v>CIRCUITINHO BSB2x1_6</v>
      </c>
      <c r="N9" s="120" t="s">
        <v>26</v>
      </c>
      <c r="O9" s="97" t="s">
        <v>27</v>
      </c>
      <c r="P9" s="62"/>
      <c r="Q9" s="53"/>
      <c r="S9" s="115"/>
      <c r="T9" s="116"/>
      <c r="U9" s="116"/>
    </row>
    <row r="10" spans="1:26" s="44" customFormat="1" ht="15.75" customHeight="1">
      <c r="A10" s="82" t="s">
        <v>0</v>
      </c>
      <c r="B10" s="139"/>
      <c r="C10" s="76" t="s">
        <v>38</v>
      </c>
      <c r="D10" s="117" t="s">
        <v>39</v>
      </c>
      <c r="E10" s="74">
        <v>6</v>
      </c>
      <c r="F10" s="119">
        <v>1.9</v>
      </c>
      <c r="G10" s="119">
        <v>0.9</v>
      </c>
      <c r="H10" s="95" t="s">
        <v>19</v>
      </c>
      <c r="I10" s="95" t="s">
        <v>20</v>
      </c>
      <c r="J10" s="96">
        <v>1.9</v>
      </c>
      <c r="K10" s="96">
        <v>0.9</v>
      </c>
      <c r="L10" s="96">
        <f>K10*J10*E10</f>
        <v>10.26</v>
      </c>
      <c r="M10" s="75" t="str">
        <f>A6&amp;D10</f>
        <v>CIRCUITINHO BSB2x1_7</v>
      </c>
      <c r="N10" s="120" t="s">
        <v>26</v>
      </c>
      <c r="O10" s="130" t="s">
        <v>27</v>
      </c>
      <c r="P10" s="62"/>
      <c r="Q10" s="53"/>
      <c r="S10" s="115"/>
      <c r="T10" s="116"/>
      <c r="U10" s="116"/>
    </row>
    <row r="11" spans="1:26" s="44" customFormat="1" ht="15.75" customHeight="1">
      <c r="A11" s="82" t="s">
        <v>0</v>
      </c>
      <c r="B11" s="140"/>
      <c r="C11" s="76" t="s">
        <v>40</v>
      </c>
      <c r="D11" s="117" t="s">
        <v>41</v>
      </c>
      <c r="E11" s="74">
        <v>6</v>
      </c>
      <c r="F11" s="119">
        <v>1.9</v>
      </c>
      <c r="G11" s="119">
        <v>0.9</v>
      </c>
      <c r="H11" s="95" t="s">
        <v>19</v>
      </c>
      <c r="I11" s="95" t="s">
        <v>20</v>
      </c>
      <c r="J11" s="96">
        <v>1.9</v>
      </c>
      <c r="K11" s="96">
        <v>0.9</v>
      </c>
      <c r="L11" s="96">
        <f>K11*J11*E11</f>
        <v>10.26</v>
      </c>
      <c r="M11" s="75" t="str">
        <f>A10&amp;D11</f>
        <v>CIRCUITINHO BSB2x1_8</v>
      </c>
      <c r="N11" s="120" t="s">
        <v>26</v>
      </c>
      <c r="O11" s="97" t="s">
        <v>27</v>
      </c>
      <c r="P11" s="62"/>
      <c r="Q11" s="53"/>
      <c r="S11" s="115"/>
      <c r="T11" s="116"/>
      <c r="U11" s="116"/>
    </row>
    <row r="12" spans="1:26" s="44" customFormat="1" ht="15.75" customHeight="1">
      <c r="A12" s="82" t="s">
        <v>0</v>
      </c>
      <c r="B12" s="138" t="s">
        <v>42</v>
      </c>
      <c r="C12" s="121" t="s">
        <v>43</v>
      </c>
      <c r="D12" s="76" t="s">
        <v>44</v>
      </c>
      <c r="E12" s="74">
        <v>1</v>
      </c>
      <c r="F12" s="73">
        <v>6</v>
      </c>
      <c r="G12" s="73">
        <v>0.7</v>
      </c>
      <c r="H12" s="95" t="s">
        <v>19</v>
      </c>
      <c r="I12" s="95" t="s">
        <v>20</v>
      </c>
      <c r="J12" s="73">
        <v>6</v>
      </c>
      <c r="K12" s="73">
        <v>0.7</v>
      </c>
      <c r="L12" s="73">
        <f t="shared" ref="L12:L32" si="3">K12*J12*E12</f>
        <v>4.1999999999999993</v>
      </c>
      <c r="M12" s="75" t="str">
        <f>A6&amp;D12</f>
        <v>CIRCUITINHO BSBrolo_1</v>
      </c>
      <c r="N12" s="120" t="s">
        <v>26</v>
      </c>
      <c r="O12" s="97"/>
      <c r="P12" s="61"/>
      <c r="Q12" s="53"/>
      <c r="R12"/>
      <c r="U12" s="91">
        <f>SUM(U4:U6)</f>
        <v>9820.6312000000016</v>
      </c>
    </row>
    <row r="13" spans="1:26" s="44" customFormat="1" ht="15.75" customHeight="1">
      <c r="A13" s="82" t="s">
        <v>0</v>
      </c>
      <c r="B13" s="139"/>
      <c r="C13" s="117" t="s">
        <v>45</v>
      </c>
      <c r="D13" s="76" t="s">
        <v>46</v>
      </c>
      <c r="E13" s="74">
        <v>2</v>
      </c>
      <c r="F13" s="73">
        <v>6</v>
      </c>
      <c r="G13" s="73">
        <v>0.7</v>
      </c>
      <c r="H13" s="95" t="s">
        <v>19</v>
      </c>
      <c r="I13" s="95" t="s">
        <v>20</v>
      </c>
      <c r="J13" s="73">
        <v>6</v>
      </c>
      <c r="K13" s="73">
        <v>0.7</v>
      </c>
      <c r="L13" s="73">
        <f t="shared" ref="L13:L15" si="4">K13*J13*E13</f>
        <v>8.3999999999999986</v>
      </c>
      <c r="M13" s="75" t="str">
        <f t="shared" ref="M13:M15" si="5">A7&amp;D13</f>
        <v>CIRCUITINHO BSBrolo_2</v>
      </c>
      <c r="N13" s="120" t="s">
        <v>26</v>
      </c>
      <c r="O13" s="97"/>
      <c r="P13" s="62"/>
      <c r="Q13" s="53"/>
      <c r="R13" s="127"/>
      <c r="S13" s="127"/>
      <c r="T13" s="127"/>
      <c r="U13" s="127"/>
      <c r="V13" s="63"/>
      <c r="W13" s="64"/>
      <c r="X13" s="64"/>
      <c r="Y13" s="64"/>
      <c r="Z13" s="64"/>
    </row>
    <row r="14" spans="1:26" s="44" customFormat="1" ht="15.75" customHeight="1">
      <c r="A14" s="82" t="s">
        <v>0</v>
      </c>
      <c r="B14" s="139"/>
      <c r="C14" s="117" t="s">
        <v>47</v>
      </c>
      <c r="D14" s="76" t="s">
        <v>48</v>
      </c>
      <c r="E14" s="74">
        <v>2</v>
      </c>
      <c r="F14" s="73">
        <v>6</v>
      </c>
      <c r="G14" s="73">
        <v>0.7</v>
      </c>
      <c r="H14" s="95" t="s">
        <v>19</v>
      </c>
      <c r="I14" s="95" t="s">
        <v>20</v>
      </c>
      <c r="J14" s="73">
        <v>6</v>
      </c>
      <c r="K14" s="73">
        <v>0.7</v>
      </c>
      <c r="L14" s="73">
        <f t="shared" si="4"/>
        <v>8.3999999999999986</v>
      </c>
      <c r="M14" s="75" t="str">
        <f t="shared" si="5"/>
        <v>CIRCUITINHO BSBrolo_3</v>
      </c>
      <c r="N14" s="120" t="s">
        <v>26</v>
      </c>
      <c r="O14" s="97"/>
      <c r="P14" s="62"/>
      <c r="Q14" s="53"/>
      <c r="R14" s="127"/>
      <c r="S14" s="127"/>
      <c r="T14" s="127"/>
      <c r="U14" s="127"/>
      <c r="V14" s="63"/>
      <c r="W14" s="64"/>
      <c r="X14" s="64"/>
      <c r="Y14" s="64"/>
      <c r="Z14" s="64"/>
    </row>
    <row r="15" spans="1:26" s="44" customFormat="1" ht="15.75" customHeight="1">
      <c r="A15" s="82" t="s">
        <v>0</v>
      </c>
      <c r="B15" s="139"/>
      <c r="C15" s="117" t="s">
        <v>49</v>
      </c>
      <c r="D15" s="76" t="s">
        <v>50</v>
      </c>
      <c r="E15" s="74">
        <v>1</v>
      </c>
      <c r="F15" s="73">
        <v>6</v>
      </c>
      <c r="G15" s="73">
        <v>0.7</v>
      </c>
      <c r="H15" s="95" t="s">
        <v>19</v>
      </c>
      <c r="I15" s="95" t="s">
        <v>20</v>
      </c>
      <c r="J15" s="73">
        <v>6</v>
      </c>
      <c r="K15" s="73">
        <v>0.7</v>
      </c>
      <c r="L15" s="73">
        <f t="shared" si="4"/>
        <v>4.1999999999999993</v>
      </c>
      <c r="M15" s="75" t="str">
        <f t="shared" si="5"/>
        <v>CIRCUITINHO BSBrolo_4</v>
      </c>
      <c r="N15" s="120" t="s">
        <v>26</v>
      </c>
      <c r="O15" s="97"/>
      <c r="P15" s="62"/>
      <c r="Q15" s="53"/>
      <c r="R15" s="127"/>
      <c r="S15" s="127"/>
      <c r="T15" s="127"/>
      <c r="U15" s="127"/>
      <c r="V15" s="63"/>
      <c r="W15" s="64"/>
      <c r="X15" s="64"/>
      <c r="Y15" s="64"/>
      <c r="Z15" s="64"/>
    </row>
    <row r="16" spans="1:26" s="44" customFormat="1" ht="15.75" customHeight="1">
      <c r="A16" s="82" t="s">
        <v>0</v>
      </c>
      <c r="B16" s="139"/>
      <c r="C16" s="76" t="s">
        <v>51</v>
      </c>
      <c r="D16" s="76" t="s">
        <v>52</v>
      </c>
      <c r="E16" s="74">
        <v>1</v>
      </c>
      <c r="F16" s="73">
        <v>6</v>
      </c>
      <c r="G16" s="73">
        <v>0.7</v>
      </c>
      <c r="H16" s="95" t="s">
        <v>19</v>
      </c>
      <c r="I16" s="95" t="s">
        <v>20</v>
      </c>
      <c r="J16" s="73">
        <v>6</v>
      </c>
      <c r="K16" s="73">
        <v>0.7</v>
      </c>
      <c r="L16" s="73">
        <f t="shared" si="3"/>
        <v>4.1999999999999993</v>
      </c>
      <c r="M16" s="75" t="str">
        <f t="shared" ref="M16" si="6">A16&amp;D16</f>
        <v>CIRCUITINHO BSBrolo_5</v>
      </c>
      <c r="N16" s="120"/>
      <c r="O16" s="97" t="s">
        <v>21</v>
      </c>
      <c r="P16" s="62" t="s">
        <v>22</v>
      </c>
      <c r="Q16" s="53"/>
      <c r="R16" s="79"/>
      <c r="S16" s="79"/>
      <c r="T16" s="80"/>
      <c r="U16" s="79"/>
      <c r="V16" s="135"/>
      <c r="W16" s="64"/>
      <c r="X16" s="64"/>
      <c r="Y16" s="64"/>
      <c r="Z16" s="64"/>
    </row>
    <row r="17" spans="1:26" s="44" customFormat="1" ht="15.75" customHeight="1">
      <c r="A17" s="82" t="s">
        <v>0</v>
      </c>
      <c r="B17" s="139"/>
      <c r="C17" s="76" t="s">
        <v>53</v>
      </c>
      <c r="D17" s="76" t="s">
        <v>54</v>
      </c>
      <c r="E17" s="74">
        <v>1</v>
      </c>
      <c r="F17" s="73">
        <v>6</v>
      </c>
      <c r="G17" s="73">
        <v>0.7</v>
      </c>
      <c r="H17" s="95" t="s">
        <v>19</v>
      </c>
      <c r="I17" s="95" t="s">
        <v>20</v>
      </c>
      <c r="J17" s="73">
        <v>6</v>
      </c>
      <c r="K17" s="73">
        <v>0.7</v>
      </c>
      <c r="L17" s="73">
        <f t="shared" si="3"/>
        <v>4.1999999999999993</v>
      </c>
      <c r="M17" s="75" t="str">
        <f>A16&amp;D17</f>
        <v>CIRCUITINHO BSBrolo_6</v>
      </c>
      <c r="N17" s="120"/>
      <c r="O17" s="97" t="s">
        <v>21</v>
      </c>
      <c r="P17" s="62" t="s">
        <v>22</v>
      </c>
      <c r="Q17" s="53"/>
      <c r="R17" s="63"/>
      <c r="S17" s="81"/>
      <c r="T17" s="66"/>
      <c r="U17" s="66"/>
      <c r="V17" s="135"/>
      <c r="W17" s="64"/>
      <c r="X17" s="64"/>
      <c r="Y17" s="64"/>
      <c r="Z17" s="64"/>
    </row>
    <row r="18" spans="1:26" s="44" customFormat="1" ht="15.75" customHeight="1">
      <c r="A18" s="82" t="s">
        <v>0</v>
      </c>
      <c r="B18" s="140"/>
      <c r="C18" s="76" t="s">
        <v>55</v>
      </c>
      <c r="D18" s="76" t="s">
        <v>56</v>
      </c>
      <c r="E18" s="74">
        <v>1</v>
      </c>
      <c r="F18" s="73">
        <v>6</v>
      </c>
      <c r="G18" s="73">
        <v>0.7</v>
      </c>
      <c r="H18" s="95" t="s">
        <v>19</v>
      </c>
      <c r="I18" s="95" t="s">
        <v>20</v>
      </c>
      <c r="J18" s="73">
        <v>6</v>
      </c>
      <c r="K18" s="73">
        <v>0.7</v>
      </c>
      <c r="L18" s="73">
        <f t="shared" ref="L18" si="7">K18*J18*E18</f>
        <v>4.1999999999999993</v>
      </c>
      <c r="M18" s="75" t="str">
        <f>A17&amp;D18</f>
        <v>CIRCUITINHO BSBrolo_7</v>
      </c>
      <c r="N18" s="120" t="s">
        <v>26</v>
      </c>
      <c r="O18" s="97"/>
      <c r="P18" s="62"/>
      <c r="Q18" s="53"/>
      <c r="R18" s="63"/>
      <c r="S18" s="81"/>
      <c r="T18" s="66"/>
      <c r="U18" s="66"/>
      <c r="V18" s="135"/>
      <c r="W18" s="64"/>
      <c r="X18" s="64"/>
      <c r="Y18" s="64"/>
      <c r="Z18" s="64"/>
    </row>
    <row r="19" spans="1:26" s="44" customFormat="1" ht="15.75" customHeight="1">
      <c r="A19" s="82" t="s">
        <v>0</v>
      </c>
      <c r="B19" s="141" t="s">
        <v>57</v>
      </c>
      <c r="C19" s="125" t="s">
        <v>58</v>
      </c>
      <c r="D19" s="98" t="s">
        <v>59</v>
      </c>
      <c r="E19" s="99">
        <v>1</v>
      </c>
      <c r="F19" s="100">
        <v>6.02</v>
      </c>
      <c r="G19" s="100">
        <v>3.28</v>
      </c>
      <c r="H19" s="99" t="s">
        <v>60</v>
      </c>
      <c r="I19" s="99" t="s">
        <v>61</v>
      </c>
      <c r="J19" s="100">
        <f>F19+0.3</f>
        <v>6.3199999999999994</v>
      </c>
      <c r="K19" s="100">
        <f>G19+0.3</f>
        <v>3.5799999999999996</v>
      </c>
      <c r="L19" s="100">
        <f>K19*J19*E19</f>
        <v>22.625599999999995</v>
      </c>
      <c r="M19" s="101" t="str">
        <f>A17&amp;D19</f>
        <v>CIRCUITINHO BSBpalco_1</v>
      </c>
      <c r="N19" s="120" t="s">
        <v>26</v>
      </c>
      <c r="O19" s="61" t="s">
        <v>27</v>
      </c>
      <c r="P19" s="61"/>
      <c r="Q19" s="53"/>
      <c r="R19" s="63"/>
      <c r="S19" s="81"/>
      <c r="T19" s="66"/>
      <c r="U19" s="66"/>
      <c r="V19" s="135"/>
      <c r="W19" s="64"/>
      <c r="X19" s="64"/>
      <c r="Y19" s="64"/>
      <c r="Z19" s="64"/>
    </row>
    <row r="20" spans="1:26" s="44" customFormat="1" ht="15.75" customHeight="1">
      <c r="A20" s="82" t="s">
        <v>0</v>
      </c>
      <c r="B20" s="142"/>
      <c r="C20" s="77" t="s">
        <v>62</v>
      </c>
      <c r="D20" s="59" t="s">
        <v>63</v>
      </c>
      <c r="E20" s="60">
        <v>1</v>
      </c>
      <c r="F20" s="61">
        <v>2.36</v>
      </c>
      <c r="G20" s="61">
        <v>0.56999999999999995</v>
      </c>
      <c r="H20" s="60" t="s">
        <v>64</v>
      </c>
      <c r="I20" s="60" t="s">
        <v>65</v>
      </c>
      <c r="J20" s="61">
        <f>F20+0.1</f>
        <v>2.46</v>
      </c>
      <c r="K20" s="61">
        <f>G20+0.1</f>
        <v>0.66999999999999993</v>
      </c>
      <c r="L20" s="61">
        <f t="shared" ref="L20:L25" si="8">K20*J20*E20</f>
        <v>1.6481999999999999</v>
      </c>
      <c r="M20" s="54" t="str">
        <f t="shared" ref="M20" si="9">A19&amp;D20</f>
        <v>CIRCUITINHO BSBpalco_2</v>
      </c>
      <c r="N20" s="120" t="s">
        <v>26</v>
      </c>
      <c r="O20" s="61"/>
      <c r="P20" s="61"/>
      <c r="Q20" s="53"/>
      <c r="R20" s="63"/>
      <c r="S20" s="81"/>
      <c r="T20" s="66"/>
      <c r="U20" s="66"/>
      <c r="V20" s="135"/>
      <c r="W20" s="64"/>
      <c r="X20" s="64"/>
      <c r="Y20" s="64"/>
      <c r="Z20" s="64"/>
    </row>
    <row r="21" spans="1:26" s="44" customFormat="1" ht="15.75" customHeight="1">
      <c r="A21" s="82" t="s">
        <v>0</v>
      </c>
      <c r="B21" s="142"/>
      <c r="C21" s="77" t="s">
        <v>66</v>
      </c>
      <c r="D21" s="59" t="s">
        <v>67</v>
      </c>
      <c r="E21" s="60">
        <v>1</v>
      </c>
      <c r="F21" s="61">
        <v>2.38</v>
      </c>
      <c r="G21" s="61">
        <v>3.13</v>
      </c>
      <c r="H21" s="60" t="s">
        <v>64</v>
      </c>
      <c r="I21" s="60" t="s">
        <v>65</v>
      </c>
      <c r="J21" s="61">
        <f t="shared" ref="J21:J22" si="10">F21+0.1</f>
        <v>2.48</v>
      </c>
      <c r="K21" s="61">
        <f t="shared" ref="K21:K22" si="11">G21+0.1</f>
        <v>3.23</v>
      </c>
      <c r="L21" s="61">
        <f t="shared" si="8"/>
        <v>8.0104000000000006</v>
      </c>
      <c r="M21" s="54" t="str">
        <f t="shared" ref="M21:M22" si="12">A19&amp;D21</f>
        <v>CIRCUITINHO BSBpalco_3</v>
      </c>
      <c r="N21" s="120" t="s">
        <v>26</v>
      </c>
      <c r="O21" s="61"/>
      <c r="P21" s="61"/>
      <c r="Q21" s="53"/>
      <c r="R21" s="63"/>
      <c r="S21" s="81"/>
      <c r="T21" s="66"/>
      <c r="U21" s="66"/>
      <c r="V21" s="135"/>
      <c r="W21" s="64"/>
      <c r="X21" s="64"/>
      <c r="Y21" s="64"/>
      <c r="Z21" s="64"/>
    </row>
    <row r="22" spans="1:26" s="44" customFormat="1" ht="15.75" customHeight="1">
      <c r="A22" s="82" t="s">
        <v>0</v>
      </c>
      <c r="B22" s="143"/>
      <c r="C22" s="77" t="s">
        <v>68</v>
      </c>
      <c r="D22" s="59" t="s">
        <v>69</v>
      </c>
      <c r="E22" s="60">
        <v>1</v>
      </c>
      <c r="F22" s="61">
        <v>1.97</v>
      </c>
      <c r="G22" s="61">
        <v>3.07</v>
      </c>
      <c r="H22" s="60" t="s">
        <v>64</v>
      </c>
      <c r="I22" s="60" t="s">
        <v>65</v>
      </c>
      <c r="J22" s="61">
        <f t="shared" si="10"/>
        <v>2.0699999999999998</v>
      </c>
      <c r="K22" s="61">
        <f t="shared" si="11"/>
        <v>3.17</v>
      </c>
      <c r="L22" s="61">
        <f t="shared" si="8"/>
        <v>6.5618999999999996</v>
      </c>
      <c r="M22" s="54" t="str">
        <f t="shared" si="12"/>
        <v>CIRCUITINHO BSBpalco_4</v>
      </c>
      <c r="N22" s="120" t="s">
        <v>26</v>
      </c>
      <c r="O22" s="61"/>
      <c r="P22" s="61"/>
      <c r="Q22" s="53"/>
      <c r="R22" s="63"/>
      <c r="S22" s="81"/>
      <c r="T22" s="66"/>
      <c r="U22" s="66"/>
      <c r="V22" s="135"/>
      <c r="W22" s="64"/>
      <c r="X22" s="64"/>
      <c r="Y22" s="64"/>
      <c r="Z22" s="64"/>
    </row>
    <row r="23" spans="1:26" s="44" customFormat="1" ht="15.75" customHeight="1">
      <c r="A23" s="82" t="s">
        <v>0</v>
      </c>
      <c r="B23" s="144" t="s">
        <v>70</v>
      </c>
      <c r="C23" s="77" t="s">
        <v>71</v>
      </c>
      <c r="D23" s="59" t="s">
        <v>72</v>
      </c>
      <c r="E23" s="60">
        <v>2</v>
      </c>
      <c r="F23" s="61">
        <v>12.4</v>
      </c>
      <c r="G23" s="61">
        <v>1.6</v>
      </c>
      <c r="H23" s="60" t="s">
        <v>60</v>
      </c>
      <c r="I23" s="60" t="s">
        <v>20</v>
      </c>
      <c r="J23" s="60">
        <v>12.35</v>
      </c>
      <c r="K23" s="61">
        <v>1.55</v>
      </c>
      <c r="L23" s="61">
        <f t="shared" si="8"/>
        <v>38.284999999999997</v>
      </c>
      <c r="M23" s="54" t="str">
        <f>A19&amp;D23</f>
        <v>CIRCUITINHO BSBtest_por</v>
      </c>
      <c r="N23" s="120" t="s">
        <v>26</v>
      </c>
      <c r="O23" s="62" t="s">
        <v>27</v>
      </c>
      <c r="P23" s="61"/>
      <c r="Q23" s="53"/>
      <c r="R23" s="63"/>
      <c r="S23" s="81"/>
      <c r="T23" s="66"/>
      <c r="U23" s="66"/>
      <c r="V23" s="135"/>
      <c r="W23" s="64"/>
      <c r="X23" s="64"/>
      <c r="Y23" s="64"/>
      <c r="Z23" s="64"/>
    </row>
    <row r="24" spans="1:26" s="44" customFormat="1" ht="15.75" customHeight="1">
      <c r="A24" s="82" t="s">
        <v>0</v>
      </c>
      <c r="B24" s="145"/>
      <c r="C24" s="77" t="s">
        <v>73</v>
      </c>
      <c r="D24" s="59" t="s">
        <v>74</v>
      </c>
      <c r="E24" s="60">
        <v>2</v>
      </c>
      <c r="F24" s="61">
        <v>1.1499999999999999</v>
      </c>
      <c r="G24" s="61">
        <v>3.03</v>
      </c>
      <c r="H24" s="60" t="s">
        <v>60</v>
      </c>
      <c r="I24" s="60" t="s">
        <v>20</v>
      </c>
      <c r="J24" s="61">
        <v>1.1499999999999999</v>
      </c>
      <c r="K24" s="61">
        <v>3.03</v>
      </c>
      <c r="L24" s="61">
        <f t="shared" si="8"/>
        <v>6.9689999999999994</v>
      </c>
      <c r="M24" s="54" t="str">
        <f>A24&amp;D24</f>
        <v>CIRCUITINHO BSBlat_dir</v>
      </c>
      <c r="N24" s="120" t="s">
        <v>26</v>
      </c>
      <c r="O24" s="61" t="s">
        <v>27</v>
      </c>
      <c r="P24" s="61"/>
      <c r="Q24" s="53"/>
      <c r="R24" s="63"/>
      <c r="S24" s="65"/>
      <c r="T24" s="66"/>
      <c r="U24" s="66"/>
      <c r="V24" s="135"/>
      <c r="W24" s="64"/>
      <c r="X24" s="64"/>
      <c r="Y24" s="64"/>
      <c r="Z24" s="64"/>
    </row>
    <row r="25" spans="1:26" s="44" customFormat="1" ht="15.75" customHeight="1">
      <c r="A25" s="82" t="s">
        <v>0</v>
      </c>
      <c r="B25" s="146"/>
      <c r="C25" s="77" t="s">
        <v>75</v>
      </c>
      <c r="D25" s="59" t="s">
        <v>76</v>
      </c>
      <c r="E25" s="60">
        <v>2</v>
      </c>
      <c r="F25" s="61">
        <v>1.1499999999999999</v>
      </c>
      <c r="G25" s="61">
        <v>3.03</v>
      </c>
      <c r="H25" s="60" t="s">
        <v>60</v>
      </c>
      <c r="I25" s="60" t="s">
        <v>20</v>
      </c>
      <c r="J25" s="61">
        <v>1.1499999999999999</v>
      </c>
      <c r="K25" s="61">
        <v>3.03</v>
      </c>
      <c r="L25" s="61">
        <f t="shared" si="8"/>
        <v>6.9689999999999994</v>
      </c>
      <c r="M25" s="54" t="str">
        <f>A25&amp;D25</f>
        <v>CIRCUITINHO BSBlat_esq</v>
      </c>
      <c r="N25" s="120" t="s">
        <v>26</v>
      </c>
      <c r="O25" s="61" t="s">
        <v>27</v>
      </c>
      <c r="P25" s="61"/>
      <c r="Q25" s="53"/>
      <c r="R25" s="63"/>
      <c r="S25" s="65"/>
      <c r="T25" s="66"/>
      <c r="U25" s="66"/>
      <c r="V25" s="135"/>
      <c r="W25" s="64"/>
      <c r="X25" s="64"/>
      <c r="Y25" s="64"/>
      <c r="Z25" s="64"/>
    </row>
    <row r="26" spans="1:26" s="44" customFormat="1" ht="15.75" customHeight="1">
      <c r="A26" s="82" t="s">
        <v>0</v>
      </c>
      <c r="B26" s="144" t="s">
        <v>77</v>
      </c>
      <c r="C26" s="77" t="s">
        <v>78</v>
      </c>
      <c r="D26" s="59" t="s">
        <v>79</v>
      </c>
      <c r="E26" s="60">
        <v>1</v>
      </c>
      <c r="F26" s="61">
        <v>4</v>
      </c>
      <c r="G26" s="61">
        <v>3</v>
      </c>
      <c r="H26" s="60" t="s">
        <v>60</v>
      </c>
      <c r="I26" s="60" t="s">
        <v>80</v>
      </c>
      <c r="J26" s="61">
        <v>3.95</v>
      </c>
      <c r="K26" s="61">
        <v>2.95</v>
      </c>
      <c r="L26" s="61">
        <f t="shared" si="3"/>
        <v>11.652500000000002</v>
      </c>
      <c r="M26" s="54" t="str">
        <f>A26&amp;D26</f>
        <v>CIRCUITINHO BSBqd_1</v>
      </c>
      <c r="N26" s="120"/>
      <c r="O26" s="62"/>
      <c r="P26" s="61"/>
      <c r="Q26" s="53"/>
      <c r="R26" s="64"/>
      <c r="S26" s="64"/>
      <c r="T26" s="64"/>
      <c r="U26" s="64"/>
      <c r="V26" s="63"/>
      <c r="W26" s="64"/>
      <c r="X26" s="64"/>
      <c r="Y26" s="64"/>
      <c r="Z26" s="64"/>
    </row>
    <row r="27" spans="1:26" s="44" customFormat="1" ht="15.75" customHeight="1">
      <c r="A27" s="82" t="s">
        <v>0</v>
      </c>
      <c r="B27" s="145"/>
      <c r="C27" s="77" t="s">
        <v>81</v>
      </c>
      <c r="D27" s="59" t="s">
        <v>82</v>
      </c>
      <c r="E27" s="60">
        <v>1</v>
      </c>
      <c r="F27" s="61">
        <v>8</v>
      </c>
      <c r="G27" s="61">
        <v>1.6</v>
      </c>
      <c r="H27" s="60" t="s">
        <v>60</v>
      </c>
      <c r="I27" s="60" t="s">
        <v>20</v>
      </c>
      <c r="J27" s="61">
        <v>7.95</v>
      </c>
      <c r="K27" s="61">
        <v>1.55</v>
      </c>
      <c r="L27" s="61">
        <f t="shared" si="3"/>
        <v>12.3225</v>
      </c>
      <c r="M27" s="54" t="str">
        <f>A27&amp;D27</f>
        <v>CIRCUITINHO BSBqd_2</v>
      </c>
      <c r="N27" s="120" t="s">
        <v>26</v>
      </c>
      <c r="O27" s="62" t="s">
        <v>27</v>
      </c>
      <c r="P27" s="61"/>
      <c r="Q27" s="53"/>
      <c r="R27" s="63"/>
      <c r="S27" s="63"/>
      <c r="T27" s="63"/>
      <c r="U27" s="63"/>
      <c r="V27" s="63"/>
      <c r="W27" s="63"/>
      <c r="X27" s="64"/>
      <c r="Y27" s="64"/>
      <c r="Z27" s="64"/>
    </row>
    <row r="28" spans="1:26" s="44" customFormat="1" ht="15.75" customHeight="1">
      <c r="A28" s="82" t="s">
        <v>0</v>
      </c>
      <c r="B28" s="145"/>
      <c r="C28" s="77" t="s">
        <v>83</v>
      </c>
      <c r="D28" s="59" t="s">
        <v>84</v>
      </c>
      <c r="E28" s="60">
        <v>1</v>
      </c>
      <c r="F28" s="61">
        <v>4</v>
      </c>
      <c r="G28" s="61">
        <v>3</v>
      </c>
      <c r="H28" s="60" t="s">
        <v>60</v>
      </c>
      <c r="I28" s="60" t="s">
        <v>80</v>
      </c>
      <c r="J28" s="61">
        <v>3.95</v>
      </c>
      <c r="K28" s="61">
        <v>2.95</v>
      </c>
      <c r="L28" s="61">
        <f t="shared" si="3"/>
        <v>11.652500000000002</v>
      </c>
      <c r="M28" s="54" t="str">
        <f t="shared" ref="M28:M30" si="13">A28&amp;D28</f>
        <v>CIRCUITINHO BSBqd_3</v>
      </c>
      <c r="N28" s="120" t="s">
        <v>26</v>
      </c>
      <c r="O28" s="62" t="s">
        <v>27</v>
      </c>
      <c r="P28" s="61"/>
      <c r="Q28" s="53"/>
      <c r="R28" s="63"/>
      <c r="S28" s="63"/>
      <c r="T28" s="63"/>
      <c r="U28" s="63"/>
      <c r="V28" s="63"/>
      <c r="W28" s="63"/>
      <c r="X28" s="64"/>
      <c r="Y28" s="64"/>
      <c r="Z28" s="64"/>
    </row>
    <row r="29" spans="1:26" s="44" customFormat="1" ht="15.75" customHeight="1">
      <c r="A29" s="82" t="s">
        <v>0</v>
      </c>
      <c r="B29" s="145"/>
      <c r="C29" s="77"/>
      <c r="D29" s="59"/>
      <c r="E29" s="60"/>
      <c r="F29" s="61"/>
      <c r="G29" s="61"/>
      <c r="H29" s="60"/>
      <c r="I29" s="60"/>
      <c r="J29" s="61"/>
      <c r="K29" s="61"/>
      <c r="L29" s="61"/>
      <c r="M29" s="54"/>
      <c r="N29" s="120"/>
      <c r="O29" s="62"/>
      <c r="P29" s="61"/>
      <c r="Q29" s="53"/>
      <c r="R29" s="63"/>
      <c r="S29" s="63"/>
      <c r="T29" s="63"/>
      <c r="U29" s="63"/>
      <c r="V29" s="63"/>
      <c r="W29" s="63"/>
      <c r="X29" s="64"/>
      <c r="Y29" s="64"/>
      <c r="Z29" s="64"/>
    </row>
    <row r="30" spans="1:26" s="44" customFormat="1" ht="15.75" customHeight="1">
      <c r="A30" s="82" t="s">
        <v>0</v>
      </c>
      <c r="B30" s="146"/>
      <c r="C30" s="77"/>
      <c r="D30" s="59"/>
      <c r="E30" s="60"/>
      <c r="F30" s="61"/>
      <c r="G30" s="61"/>
      <c r="H30" s="60"/>
      <c r="I30" s="60"/>
      <c r="J30" s="61"/>
      <c r="K30" s="61"/>
      <c r="L30" s="61"/>
      <c r="M30" s="54"/>
      <c r="N30" s="120"/>
      <c r="O30" s="62"/>
      <c r="P30" s="61"/>
      <c r="Q30" s="53"/>
      <c r="R30" s="63"/>
      <c r="S30" s="63"/>
      <c r="T30" s="63"/>
      <c r="U30" s="63"/>
      <c r="V30" s="63"/>
      <c r="W30" s="63"/>
      <c r="X30" s="64"/>
      <c r="Y30" s="64"/>
      <c r="Z30" s="64"/>
    </row>
    <row r="31" spans="1:26" s="44" customFormat="1" ht="15.75" customHeight="1">
      <c r="A31" s="82" t="s">
        <v>0</v>
      </c>
      <c r="B31" s="147" t="s">
        <v>85</v>
      </c>
      <c r="C31" s="77" t="s">
        <v>86</v>
      </c>
      <c r="D31" s="59" t="s">
        <v>87</v>
      </c>
      <c r="E31" s="60">
        <v>1</v>
      </c>
      <c r="F31" s="61">
        <v>9</v>
      </c>
      <c r="G31" s="61">
        <v>1.3</v>
      </c>
      <c r="H31" s="60" t="s">
        <v>60</v>
      </c>
      <c r="I31" s="60" t="s">
        <v>61</v>
      </c>
      <c r="J31" s="61">
        <v>9.3000000000000007</v>
      </c>
      <c r="K31" s="61">
        <v>1.6</v>
      </c>
      <c r="L31" s="61">
        <f t="shared" si="3"/>
        <v>14.880000000000003</v>
      </c>
      <c r="M31" s="54"/>
      <c r="N31" s="120" t="s">
        <v>26</v>
      </c>
      <c r="O31" s="129" t="s">
        <v>27</v>
      </c>
      <c r="P31" s="61"/>
      <c r="Q31" s="53"/>
      <c r="R31" s="63"/>
      <c r="S31" s="63"/>
      <c r="T31" s="63"/>
      <c r="U31" s="63"/>
      <c r="V31" s="63"/>
      <c r="W31" s="63"/>
      <c r="X31" s="64"/>
      <c r="Y31" s="64"/>
      <c r="Z31" s="64"/>
    </row>
    <row r="32" spans="1:26" s="44" customFormat="1" ht="15.75" customHeight="1">
      <c r="A32" s="82" t="s">
        <v>0</v>
      </c>
      <c r="B32" s="148"/>
      <c r="C32" s="77" t="s">
        <v>88</v>
      </c>
      <c r="D32" s="59" t="s">
        <v>89</v>
      </c>
      <c r="E32" s="60">
        <v>1</v>
      </c>
      <c r="F32" s="61">
        <v>8.3000000000000007</v>
      </c>
      <c r="G32" s="61">
        <v>2.2999999999999998</v>
      </c>
      <c r="H32" s="60" t="s">
        <v>60</v>
      </c>
      <c r="I32" s="60" t="s">
        <v>20</v>
      </c>
      <c r="J32" s="61">
        <v>8.3000000000000007</v>
      </c>
      <c r="K32" s="61">
        <v>2.2999999999999998</v>
      </c>
      <c r="L32" s="61">
        <f t="shared" si="3"/>
        <v>19.09</v>
      </c>
      <c r="M32" s="54"/>
      <c r="N32" s="120" t="s">
        <v>26</v>
      </c>
      <c r="O32" s="62"/>
      <c r="P32" s="61"/>
      <c r="Q32" s="53"/>
      <c r="R32" s="152"/>
      <c r="S32" s="152"/>
      <c r="T32" s="152"/>
      <c r="U32" s="152"/>
      <c r="V32" s="63"/>
      <c r="W32" s="63"/>
      <c r="X32" s="64"/>
      <c r="Y32" s="64"/>
      <c r="Z32" s="64"/>
    </row>
    <row r="33" spans="1:17" s="63" customFormat="1">
      <c r="A33" s="82" t="s">
        <v>0</v>
      </c>
      <c r="B33" s="157" t="s">
        <v>90</v>
      </c>
      <c r="C33" s="77"/>
      <c r="D33" s="59"/>
      <c r="E33" s="60"/>
      <c r="F33" s="61">
        <v>0.9</v>
      </c>
      <c r="G33" s="61">
        <v>1.9</v>
      </c>
      <c r="H33" s="60" t="s">
        <v>60</v>
      </c>
      <c r="I33" s="60" t="s">
        <v>80</v>
      </c>
      <c r="J33" s="61">
        <v>0.9</v>
      </c>
      <c r="K33" s="61">
        <v>1.9</v>
      </c>
      <c r="L33" s="61">
        <f t="shared" ref="L33:L40" si="14">K33*J33*E33</f>
        <v>0</v>
      </c>
      <c r="M33" s="54" t="str">
        <f>A33&amp;D33</f>
        <v>CIRCUITINHO BSB</v>
      </c>
      <c r="N33" s="93"/>
      <c r="O33" s="61"/>
      <c r="P33" s="61"/>
      <c r="Q33" s="53"/>
    </row>
    <row r="34" spans="1:17" s="63" customFormat="1">
      <c r="A34" s="82" t="s">
        <v>0</v>
      </c>
      <c r="B34" s="157"/>
      <c r="C34" s="77"/>
      <c r="D34" s="59"/>
      <c r="E34" s="60"/>
      <c r="F34" s="61">
        <v>0.9</v>
      </c>
      <c r="G34" s="61">
        <v>1.9</v>
      </c>
      <c r="H34" s="60" t="s">
        <v>60</v>
      </c>
      <c r="I34" s="60" t="s">
        <v>80</v>
      </c>
      <c r="J34" s="61">
        <v>0.9</v>
      </c>
      <c r="K34" s="61">
        <v>1.9</v>
      </c>
      <c r="L34" s="61">
        <f t="shared" si="14"/>
        <v>0</v>
      </c>
      <c r="M34" s="54" t="str">
        <f>A34&amp;D34</f>
        <v>CIRCUITINHO BSB</v>
      </c>
      <c r="N34" s="93"/>
      <c r="O34" s="61"/>
      <c r="P34" s="61"/>
      <c r="Q34" s="53"/>
    </row>
    <row r="35" spans="1:17" s="63" customFormat="1">
      <c r="A35" s="82" t="s">
        <v>0</v>
      </c>
      <c r="B35" s="157"/>
      <c r="C35" s="77"/>
      <c r="D35" s="59"/>
      <c r="E35" s="60"/>
      <c r="F35" s="61">
        <v>0.9</v>
      </c>
      <c r="G35" s="61">
        <v>1.9</v>
      </c>
      <c r="H35" s="60" t="s">
        <v>60</v>
      </c>
      <c r="I35" s="60" t="s">
        <v>80</v>
      </c>
      <c r="J35" s="61">
        <v>0.9</v>
      </c>
      <c r="K35" s="61">
        <v>1.9</v>
      </c>
      <c r="L35" s="61">
        <f t="shared" si="14"/>
        <v>0</v>
      </c>
      <c r="M35" s="54" t="str">
        <f>A35&amp;D35</f>
        <v>CIRCUITINHO BSB</v>
      </c>
      <c r="N35" s="93"/>
      <c r="O35" s="61"/>
      <c r="P35" s="61"/>
      <c r="Q35" s="53"/>
    </row>
    <row r="36" spans="1:17">
      <c r="A36" s="82" t="s">
        <v>0</v>
      </c>
      <c r="B36" s="154" t="s">
        <v>91</v>
      </c>
      <c r="C36" s="77" t="s">
        <v>92</v>
      </c>
      <c r="D36" s="59" t="s">
        <v>93</v>
      </c>
      <c r="E36" s="60">
        <v>2</v>
      </c>
      <c r="F36" s="61">
        <v>3</v>
      </c>
      <c r="G36" s="61">
        <v>0.2</v>
      </c>
      <c r="H36" s="60" t="s">
        <v>94</v>
      </c>
      <c r="I36" s="60" t="s">
        <v>95</v>
      </c>
      <c r="J36" s="61">
        <v>3</v>
      </c>
      <c r="K36" s="61">
        <v>0.2</v>
      </c>
      <c r="L36" s="61">
        <f t="shared" si="14"/>
        <v>1.2000000000000002</v>
      </c>
      <c r="M36" s="54" t="str">
        <f>A36&amp;D36</f>
        <v>CIRCUITINHO BSBfx_cheg</v>
      </c>
      <c r="N36" s="120" t="s">
        <v>26</v>
      </c>
      <c r="O36" s="61"/>
      <c r="P36" s="61"/>
    </row>
    <row r="37" spans="1:17">
      <c r="A37" s="82" t="s">
        <v>0</v>
      </c>
      <c r="B37" s="155"/>
      <c r="C37" s="77" t="s">
        <v>96</v>
      </c>
      <c r="D37" s="59" t="s">
        <v>97</v>
      </c>
      <c r="E37" s="60">
        <v>1</v>
      </c>
      <c r="F37" s="68">
        <v>7.0000000000000007E-2</v>
      </c>
      <c r="G37" s="68">
        <v>0.2</v>
      </c>
      <c r="H37" s="60" t="s">
        <v>64</v>
      </c>
      <c r="I37" s="60" t="s">
        <v>98</v>
      </c>
      <c r="J37" s="68">
        <v>7.0000000000000007E-2</v>
      </c>
      <c r="K37" s="68">
        <v>0.2</v>
      </c>
      <c r="L37" s="61">
        <f t="shared" si="14"/>
        <v>1.4000000000000002E-2</v>
      </c>
      <c r="M37" s="54" t="str">
        <f>A37&amp;D37</f>
        <v>CIRCUITINHO BSBnum_podio1</v>
      </c>
      <c r="N37" s="120" t="s">
        <v>26</v>
      </c>
      <c r="O37" s="61"/>
      <c r="P37" s="61"/>
    </row>
    <row r="38" spans="1:17">
      <c r="A38" s="82" t="s">
        <v>0</v>
      </c>
      <c r="B38" s="155"/>
      <c r="C38" s="77" t="s">
        <v>99</v>
      </c>
      <c r="D38" s="59" t="s">
        <v>100</v>
      </c>
      <c r="E38" s="60">
        <v>1</v>
      </c>
      <c r="F38" s="67">
        <v>0.12</v>
      </c>
      <c r="G38" s="67">
        <v>0.13</v>
      </c>
      <c r="H38" s="60" t="s">
        <v>64</v>
      </c>
      <c r="I38" s="60" t="s">
        <v>98</v>
      </c>
      <c r="J38" s="67">
        <v>0.12</v>
      </c>
      <c r="K38" s="67">
        <v>0.13</v>
      </c>
      <c r="L38" s="61">
        <f t="shared" si="14"/>
        <v>1.5599999999999999E-2</v>
      </c>
      <c r="M38" s="54" t="str">
        <f>A38&amp;D38</f>
        <v>CIRCUITINHO BSBnum_podio2</v>
      </c>
      <c r="N38" s="120" t="s">
        <v>26</v>
      </c>
      <c r="O38" s="61"/>
      <c r="P38" s="61"/>
    </row>
    <row r="39" spans="1:17">
      <c r="A39" s="82" t="s">
        <v>0</v>
      </c>
      <c r="B39" s="156"/>
      <c r="C39" s="77" t="s">
        <v>101</v>
      </c>
      <c r="D39" s="59" t="s">
        <v>102</v>
      </c>
      <c r="E39" s="60">
        <v>1</v>
      </c>
      <c r="F39" s="67">
        <v>0.09</v>
      </c>
      <c r="G39" s="67">
        <v>0.12</v>
      </c>
      <c r="H39" s="60" t="s">
        <v>64</v>
      </c>
      <c r="I39" s="60" t="s">
        <v>98</v>
      </c>
      <c r="J39" s="67">
        <v>0.09</v>
      </c>
      <c r="K39" s="67">
        <v>0.12</v>
      </c>
      <c r="L39" s="61">
        <f t="shared" si="14"/>
        <v>1.0799999999999999E-2</v>
      </c>
      <c r="M39" s="54" t="str">
        <f>A37&amp;D39</f>
        <v>CIRCUITINHO BSBnum_podio3</v>
      </c>
      <c r="N39" s="120" t="s">
        <v>26</v>
      </c>
      <c r="O39" s="61"/>
      <c r="P39" s="61"/>
    </row>
    <row r="40" spans="1:17" ht="15" customHeight="1">
      <c r="A40" s="82" t="s">
        <v>0</v>
      </c>
      <c r="B40" s="162" t="s">
        <v>103</v>
      </c>
      <c r="C40" s="126" t="s">
        <v>104</v>
      </c>
      <c r="D40" s="69"/>
      <c r="E40" s="70">
        <v>3</v>
      </c>
      <c r="F40" s="71">
        <v>5</v>
      </c>
      <c r="G40" s="71">
        <v>0.6</v>
      </c>
      <c r="H40" s="70" t="s">
        <v>60</v>
      </c>
      <c r="I40" s="70" t="s">
        <v>61</v>
      </c>
      <c r="J40" s="71">
        <v>5.3</v>
      </c>
      <c r="K40" s="71">
        <v>0.9</v>
      </c>
      <c r="L40" s="61">
        <f t="shared" si="14"/>
        <v>14.309999999999999</v>
      </c>
      <c r="M40" s="72" t="str">
        <f>A40&amp;D40</f>
        <v>CIRCUITINHO BSB</v>
      </c>
      <c r="N40" s="120" t="s">
        <v>26</v>
      </c>
      <c r="O40" s="78" t="s">
        <v>21</v>
      </c>
      <c r="P40" s="71" t="s">
        <v>105</v>
      </c>
    </row>
    <row r="41" spans="1:17">
      <c r="A41" s="82" t="s">
        <v>0</v>
      </c>
      <c r="B41" s="162"/>
      <c r="C41" s="126" t="s">
        <v>106</v>
      </c>
      <c r="D41" s="103"/>
      <c r="E41" s="70">
        <v>1</v>
      </c>
      <c r="F41" s="71">
        <v>5</v>
      </c>
      <c r="G41" s="71">
        <v>0.6</v>
      </c>
      <c r="H41" s="70" t="s">
        <v>60</v>
      </c>
      <c r="I41" s="70" t="s">
        <v>61</v>
      </c>
      <c r="J41" s="71">
        <v>5.3</v>
      </c>
      <c r="K41" s="71">
        <v>0.9</v>
      </c>
      <c r="L41" s="71">
        <f t="shared" ref="L41:L50" si="15">K41*J41*E41</f>
        <v>4.7699999999999996</v>
      </c>
      <c r="M41" s="102" t="str">
        <f>A41&amp;D41</f>
        <v>CIRCUITINHO BSB</v>
      </c>
      <c r="N41" s="120" t="s">
        <v>26</v>
      </c>
      <c r="O41" s="78" t="s">
        <v>21</v>
      </c>
      <c r="P41" s="71" t="s">
        <v>105</v>
      </c>
    </row>
    <row r="42" spans="1:17">
      <c r="A42" s="82" t="s">
        <v>0</v>
      </c>
      <c r="B42" s="162"/>
      <c r="C42" s="106" t="s">
        <v>107</v>
      </c>
      <c r="D42" s="7"/>
      <c r="E42" s="74">
        <v>1</v>
      </c>
      <c r="F42" s="73">
        <v>5</v>
      </c>
      <c r="G42" s="73">
        <v>0.6</v>
      </c>
      <c r="H42" s="74" t="s">
        <v>60</v>
      </c>
      <c r="I42" s="74" t="s">
        <v>61</v>
      </c>
      <c r="J42" s="73">
        <v>5.3</v>
      </c>
      <c r="K42" s="73">
        <v>0.9</v>
      </c>
      <c r="L42" s="73">
        <f t="shared" si="15"/>
        <v>4.7699999999999996</v>
      </c>
      <c r="M42" s="75" t="str">
        <f>A42&amp;D42</f>
        <v>CIRCUITINHO BSB</v>
      </c>
      <c r="N42" s="120" t="s">
        <v>26</v>
      </c>
      <c r="O42" s="78" t="s">
        <v>21</v>
      </c>
      <c r="P42" s="71" t="s">
        <v>105</v>
      </c>
    </row>
    <row r="43" spans="1:17">
      <c r="A43" s="82" t="s">
        <v>0</v>
      </c>
      <c r="B43" s="162"/>
      <c r="C43" s="106" t="s">
        <v>108</v>
      </c>
      <c r="D43" s="7"/>
      <c r="E43" s="74">
        <v>1</v>
      </c>
      <c r="F43" s="73">
        <v>5</v>
      </c>
      <c r="G43" s="73">
        <v>0.6</v>
      </c>
      <c r="H43" s="74" t="s">
        <v>60</v>
      </c>
      <c r="I43" s="74" t="s">
        <v>61</v>
      </c>
      <c r="J43" s="73">
        <v>5.3</v>
      </c>
      <c r="K43" s="73">
        <v>0.9</v>
      </c>
      <c r="L43" s="73">
        <f t="shared" ref="L43:L44" si="16">K43*J43*E43</f>
        <v>4.7699999999999996</v>
      </c>
      <c r="M43" s="75" t="str">
        <f t="shared" ref="M43:M44" si="17">A43&amp;D43</f>
        <v>CIRCUITINHO BSB</v>
      </c>
      <c r="N43" s="120" t="s">
        <v>26</v>
      </c>
      <c r="O43" s="78" t="s">
        <v>21</v>
      </c>
      <c r="P43" s="71" t="s">
        <v>105</v>
      </c>
    </row>
    <row r="44" spans="1:17">
      <c r="A44" s="82" t="s">
        <v>0</v>
      </c>
      <c r="B44" s="162"/>
      <c r="C44" s="106" t="s">
        <v>109</v>
      </c>
      <c r="D44" s="7"/>
      <c r="E44" s="74">
        <v>1</v>
      </c>
      <c r="F44" s="73">
        <v>5</v>
      </c>
      <c r="G44" s="73">
        <v>0.6</v>
      </c>
      <c r="H44" s="74" t="s">
        <v>60</v>
      </c>
      <c r="I44" s="74" t="s">
        <v>61</v>
      </c>
      <c r="J44" s="73">
        <v>5.3</v>
      </c>
      <c r="K44" s="73">
        <v>0.9</v>
      </c>
      <c r="L44" s="73">
        <f t="shared" si="16"/>
        <v>4.7699999999999996</v>
      </c>
      <c r="M44" s="75" t="str">
        <f t="shared" si="17"/>
        <v>CIRCUITINHO BSB</v>
      </c>
      <c r="N44" s="120" t="s">
        <v>26</v>
      </c>
      <c r="O44" s="78" t="s">
        <v>21</v>
      </c>
      <c r="P44" s="71" t="s">
        <v>105</v>
      </c>
    </row>
    <row r="45" spans="1:17">
      <c r="A45" s="82" t="s">
        <v>0</v>
      </c>
      <c r="B45" s="162"/>
      <c r="C45" s="106" t="s">
        <v>110</v>
      </c>
      <c r="D45" s="7"/>
      <c r="E45" s="74">
        <v>1</v>
      </c>
      <c r="F45" s="73">
        <v>5</v>
      </c>
      <c r="G45" s="73">
        <v>0.6</v>
      </c>
      <c r="H45" s="74" t="s">
        <v>60</v>
      </c>
      <c r="I45" s="74" t="s">
        <v>61</v>
      </c>
      <c r="J45" s="73">
        <v>5.3</v>
      </c>
      <c r="K45" s="73">
        <v>0.9</v>
      </c>
      <c r="L45" s="73">
        <f t="shared" si="15"/>
        <v>4.7699999999999996</v>
      </c>
      <c r="M45" s="75" t="str">
        <f>A45&amp;D45</f>
        <v>CIRCUITINHO BSB</v>
      </c>
      <c r="N45" s="120" t="s">
        <v>26</v>
      </c>
      <c r="O45" s="78" t="s">
        <v>21</v>
      </c>
      <c r="P45" s="71" t="s">
        <v>105</v>
      </c>
    </row>
    <row r="46" spans="1:17">
      <c r="A46" s="82" t="s">
        <v>0</v>
      </c>
      <c r="B46" s="162"/>
      <c r="C46" s="105" t="s">
        <v>111</v>
      </c>
      <c r="D46" s="83"/>
      <c r="E46" s="114">
        <v>1</v>
      </c>
      <c r="F46" s="73">
        <v>5</v>
      </c>
      <c r="G46" s="73">
        <v>0.6</v>
      </c>
      <c r="H46" s="74" t="s">
        <v>60</v>
      </c>
      <c r="I46" s="74" t="s">
        <v>61</v>
      </c>
      <c r="J46" s="73">
        <v>5.3</v>
      </c>
      <c r="K46" s="73">
        <v>0.9</v>
      </c>
      <c r="L46" s="73">
        <f t="shared" ref="L46" si="18">K46*J46*E46</f>
        <v>4.7699999999999996</v>
      </c>
      <c r="M46" s="75" t="str">
        <f>A46&amp;D46</f>
        <v>CIRCUITINHO BSB</v>
      </c>
      <c r="N46" s="120" t="s">
        <v>26</v>
      </c>
      <c r="O46" s="78" t="s">
        <v>21</v>
      </c>
      <c r="P46" s="71" t="s">
        <v>105</v>
      </c>
    </row>
    <row r="47" spans="1:17">
      <c r="A47" s="82" t="s">
        <v>0</v>
      </c>
      <c r="B47" s="128" t="s">
        <v>112</v>
      </c>
      <c r="C47" s="105" t="s">
        <v>113</v>
      </c>
      <c r="D47" s="83"/>
      <c r="E47" s="84">
        <v>5</v>
      </c>
      <c r="F47" s="84">
        <v>0.9</v>
      </c>
      <c r="G47" s="84">
        <v>1.9</v>
      </c>
      <c r="H47" s="84" t="s">
        <v>60</v>
      </c>
      <c r="I47" s="84" t="s">
        <v>20</v>
      </c>
      <c r="J47" s="40">
        <v>0.9</v>
      </c>
      <c r="K47" s="40">
        <v>1.9</v>
      </c>
      <c r="L47" s="73">
        <f>K47*J47*E47</f>
        <v>8.5500000000000007</v>
      </c>
      <c r="M47" s="75" t="str">
        <f>A47&amp;D47</f>
        <v>CIRCUITINHO BSB</v>
      </c>
      <c r="N47" s="120" t="s">
        <v>26</v>
      </c>
      <c r="O47" s="40"/>
      <c r="P47" s="40"/>
    </row>
    <row r="48" spans="1:17">
      <c r="A48" s="82" t="s">
        <v>0</v>
      </c>
      <c r="B48" s="159" t="s">
        <v>114</v>
      </c>
      <c r="C48" s="106" t="s">
        <v>115</v>
      </c>
      <c r="D48" s="7"/>
      <c r="E48" s="94">
        <v>1</v>
      </c>
      <c r="F48" s="18">
        <v>1.1000000000000001</v>
      </c>
      <c r="G48" s="18">
        <v>1.78</v>
      </c>
      <c r="H48" s="94" t="s">
        <v>60</v>
      </c>
      <c r="I48" s="94" t="s">
        <v>61</v>
      </c>
      <c r="J48" s="18">
        <f>F48+0.3</f>
        <v>1.4000000000000001</v>
      </c>
      <c r="K48" s="18">
        <f>G48+0.3</f>
        <v>2.08</v>
      </c>
      <c r="L48" s="73">
        <f t="shared" si="15"/>
        <v>2.9120000000000004</v>
      </c>
      <c r="M48" s="75" t="str">
        <f>A48&amp;D48</f>
        <v>CIRCUITINHO BSB</v>
      </c>
      <c r="N48" s="18"/>
      <c r="O48" s="18" t="s">
        <v>21</v>
      </c>
      <c r="P48" s="18" t="s">
        <v>105</v>
      </c>
    </row>
    <row r="49" spans="1:16">
      <c r="A49" s="82" t="s">
        <v>0</v>
      </c>
      <c r="B49" s="160"/>
      <c r="C49" s="106" t="s">
        <v>116</v>
      </c>
      <c r="D49" s="7"/>
      <c r="E49" s="94">
        <v>1</v>
      </c>
      <c r="F49" s="94">
        <v>2.06</v>
      </c>
      <c r="G49" s="94">
        <v>0.81</v>
      </c>
      <c r="H49" s="94" t="s">
        <v>64</v>
      </c>
      <c r="I49" s="94" t="s">
        <v>65</v>
      </c>
      <c r="J49" s="18">
        <v>2.16</v>
      </c>
      <c r="K49" s="18">
        <v>0.91</v>
      </c>
      <c r="L49" s="73">
        <f t="shared" si="15"/>
        <v>1.9656000000000002</v>
      </c>
      <c r="M49" s="75" t="str">
        <f>A49&amp;D49</f>
        <v>CIRCUITINHO BSB</v>
      </c>
      <c r="N49" s="18"/>
      <c r="O49" s="18" t="s">
        <v>21</v>
      </c>
      <c r="P49" s="18" t="s">
        <v>105</v>
      </c>
    </row>
    <row r="50" spans="1:16">
      <c r="A50" s="82" t="s">
        <v>0</v>
      </c>
      <c r="B50" s="161"/>
      <c r="C50" s="106" t="s">
        <v>117</v>
      </c>
      <c r="D50" s="7"/>
      <c r="E50" s="94">
        <v>1</v>
      </c>
      <c r="F50" s="94">
        <v>0.92</v>
      </c>
      <c r="G50" s="94">
        <v>0.22</v>
      </c>
      <c r="H50" s="94" t="s">
        <v>64</v>
      </c>
      <c r="I50" s="94" t="s">
        <v>65</v>
      </c>
      <c r="J50" s="18">
        <v>1.02</v>
      </c>
      <c r="K50" s="18">
        <v>0.32</v>
      </c>
      <c r="L50" s="73">
        <f t="shared" si="15"/>
        <v>0.32640000000000002</v>
      </c>
      <c r="M50" s="75"/>
      <c r="N50" s="18"/>
      <c r="O50" s="18" t="s">
        <v>21</v>
      </c>
      <c r="P50" s="18" t="s">
        <v>105</v>
      </c>
    </row>
    <row r="51" spans="1:16">
      <c r="A51" s="82" t="s">
        <v>0</v>
      </c>
      <c r="B51" s="104"/>
      <c r="C51" s="106" t="s">
        <v>118</v>
      </c>
      <c r="D51" s="7"/>
      <c r="E51" s="94"/>
      <c r="F51" s="94"/>
      <c r="G51" s="94"/>
      <c r="H51" s="94"/>
      <c r="I51" s="94"/>
      <c r="J51" s="18"/>
      <c r="K51" s="18"/>
      <c r="L51" s="18"/>
      <c r="M51" s="75" t="str">
        <f>A51&amp;D51</f>
        <v>CIRCUITINHO BSB</v>
      </c>
      <c r="N51" s="18"/>
      <c r="O51" s="18" t="s">
        <v>21</v>
      </c>
      <c r="P51" s="18" t="s">
        <v>105</v>
      </c>
    </row>
    <row r="52" spans="1:16">
      <c r="A52" s="82" t="s">
        <v>0</v>
      </c>
      <c r="B52" s="108"/>
      <c r="C52" s="106" t="s">
        <v>119</v>
      </c>
      <c r="D52" s="7"/>
      <c r="E52" s="94"/>
      <c r="F52" s="94"/>
      <c r="G52" s="94"/>
      <c r="H52" s="94"/>
      <c r="I52" s="94"/>
      <c r="J52" s="18"/>
      <c r="K52" s="18"/>
      <c r="L52" s="18"/>
      <c r="M52" s="75" t="str">
        <f>A52&amp;D52</f>
        <v>CIRCUITINHO BSB</v>
      </c>
      <c r="N52" s="18"/>
      <c r="O52" s="18" t="s">
        <v>21</v>
      </c>
      <c r="P52" s="18" t="s">
        <v>105</v>
      </c>
    </row>
    <row r="53" spans="1:16">
      <c r="A53" s="82" t="s">
        <v>0</v>
      </c>
      <c r="B53" s="158" t="s">
        <v>120</v>
      </c>
      <c r="C53" s="106" t="s">
        <v>121</v>
      </c>
      <c r="D53" s="7"/>
      <c r="E53" s="94">
        <v>1</v>
      </c>
      <c r="F53" s="94">
        <v>1.85</v>
      </c>
      <c r="G53" s="94">
        <v>2.29</v>
      </c>
      <c r="H53" s="94" t="s">
        <v>60</v>
      </c>
      <c r="I53" s="94" t="s">
        <v>61</v>
      </c>
      <c r="J53" s="18">
        <f>F53+0.3</f>
        <v>2.15</v>
      </c>
      <c r="K53" s="18">
        <f>G53+0.3</f>
        <v>2.59</v>
      </c>
      <c r="L53" s="73">
        <f t="shared" ref="L53:L58" si="19">K53*J53*E53</f>
        <v>5.5684999999999993</v>
      </c>
      <c r="M53" s="75" t="str">
        <f>A53&amp;D53</f>
        <v>CIRCUITINHO BSB</v>
      </c>
      <c r="N53" s="18"/>
      <c r="O53" s="18" t="s">
        <v>21</v>
      </c>
      <c r="P53" s="18" t="s">
        <v>105</v>
      </c>
    </row>
    <row r="54" spans="1:16">
      <c r="A54" s="82" t="s">
        <v>0</v>
      </c>
      <c r="B54" s="158"/>
      <c r="C54" s="106" t="s">
        <v>122</v>
      </c>
      <c r="D54" s="7"/>
      <c r="E54" s="94">
        <v>1</v>
      </c>
      <c r="F54" s="94">
        <v>1.85</v>
      </c>
      <c r="G54" s="94">
        <v>2.29</v>
      </c>
      <c r="H54" s="94" t="s">
        <v>64</v>
      </c>
      <c r="I54" s="94" t="s">
        <v>65</v>
      </c>
      <c r="J54" s="18">
        <f>F54+0.1</f>
        <v>1.9500000000000002</v>
      </c>
      <c r="K54" s="18">
        <f>G54+0.1</f>
        <v>2.39</v>
      </c>
      <c r="L54" s="73">
        <f t="shared" si="19"/>
        <v>4.6605000000000008</v>
      </c>
      <c r="M54" s="75" t="str">
        <f t="shared" ref="M54:M58" si="20">A54&amp;D54</f>
        <v>CIRCUITINHO BSB</v>
      </c>
      <c r="N54" s="18"/>
      <c r="O54" s="18" t="s">
        <v>21</v>
      </c>
      <c r="P54" s="18" t="s">
        <v>105</v>
      </c>
    </row>
    <row r="55" spans="1:16">
      <c r="A55" s="82" t="s">
        <v>0</v>
      </c>
      <c r="B55" s="158"/>
      <c r="C55" s="106" t="s">
        <v>123</v>
      </c>
      <c r="D55" s="7"/>
      <c r="E55" s="94">
        <v>1</v>
      </c>
      <c r="F55" s="94">
        <v>1.85</v>
      </c>
      <c r="G55" s="94">
        <v>2.29</v>
      </c>
      <c r="H55" s="94" t="s">
        <v>60</v>
      </c>
      <c r="I55" s="94" t="s">
        <v>61</v>
      </c>
      <c r="J55" s="18">
        <f>F55+0.3</f>
        <v>2.15</v>
      </c>
      <c r="K55" s="18">
        <f>G55+0.3</f>
        <v>2.59</v>
      </c>
      <c r="L55" s="73">
        <f t="shared" si="19"/>
        <v>5.5684999999999993</v>
      </c>
      <c r="M55" s="75" t="str">
        <f t="shared" si="20"/>
        <v>CIRCUITINHO BSB</v>
      </c>
      <c r="N55" s="18"/>
      <c r="O55" s="18" t="s">
        <v>21</v>
      </c>
      <c r="P55" s="18" t="s">
        <v>105</v>
      </c>
    </row>
    <row r="56" spans="1:16">
      <c r="A56" s="82" t="s">
        <v>0</v>
      </c>
      <c r="B56" s="158"/>
      <c r="C56" s="106" t="s">
        <v>124</v>
      </c>
      <c r="D56" s="7"/>
      <c r="E56" s="94">
        <v>1</v>
      </c>
      <c r="F56" s="94">
        <v>1.85</v>
      </c>
      <c r="G56" s="94">
        <v>2.29</v>
      </c>
      <c r="H56" s="94" t="s">
        <v>64</v>
      </c>
      <c r="I56" s="94" t="s">
        <v>65</v>
      </c>
      <c r="J56" s="18">
        <f>F56+0.1</f>
        <v>1.9500000000000002</v>
      </c>
      <c r="K56" s="18">
        <f>G56+0.1</f>
        <v>2.39</v>
      </c>
      <c r="L56" s="73">
        <f t="shared" si="19"/>
        <v>4.6605000000000008</v>
      </c>
      <c r="M56" s="75" t="str">
        <f t="shared" si="20"/>
        <v>CIRCUITINHO BSB</v>
      </c>
      <c r="N56" s="18"/>
      <c r="O56" s="18" t="s">
        <v>21</v>
      </c>
      <c r="P56" s="18" t="s">
        <v>105</v>
      </c>
    </row>
    <row r="57" spans="1:16">
      <c r="A57" s="82" t="s">
        <v>0</v>
      </c>
      <c r="B57" s="158"/>
      <c r="C57" s="109" t="s">
        <v>125</v>
      </c>
      <c r="D57" s="110"/>
      <c r="E57" s="111">
        <v>1</v>
      </c>
      <c r="F57" s="111">
        <v>2.75</v>
      </c>
      <c r="G57" s="111">
        <v>2.29</v>
      </c>
      <c r="H57" s="111" t="s">
        <v>60</v>
      </c>
      <c r="I57" s="111" t="s">
        <v>61</v>
      </c>
      <c r="J57" s="112">
        <f>F57+0.3</f>
        <v>3.05</v>
      </c>
      <c r="K57" s="112">
        <f>G57+0.3</f>
        <v>2.59</v>
      </c>
      <c r="L57" s="112">
        <f t="shared" si="19"/>
        <v>7.8994999999999989</v>
      </c>
      <c r="M57" s="113" t="str">
        <f t="shared" si="20"/>
        <v>CIRCUITINHO BSB</v>
      </c>
      <c r="N57" s="112"/>
      <c r="O57" s="18" t="s">
        <v>21</v>
      </c>
      <c r="P57" s="18" t="s">
        <v>105</v>
      </c>
    </row>
    <row r="58" spans="1:16">
      <c r="A58" s="82" t="s">
        <v>0</v>
      </c>
      <c r="B58" s="158"/>
      <c r="C58" s="109" t="s">
        <v>126</v>
      </c>
      <c r="D58" s="110"/>
      <c r="E58" s="111">
        <v>1</v>
      </c>
      <c r="F58" s="111">
        <v>2.75</v>
      </c>
      <c r="G58" s="111">
        <v>2.29</v>
      </c>
      <c r="H58" s="111" t="s">
        <v>64</v>
      </c>
      <c r="I58" s="111" t="s">
        <v>65</v>
      </c>
      <c r="J58" s="112">
        <f>F58+0.1</f>
        <v>2.85</v>
      </c>
      <c r="K58" s="112">
        <f>G58+0.1</f>
        <v>2.39</v>
      </c>
      <c r="L58" s="112">
        <f t="shared" si="19"/>
        <v>6.8115000000000006</v>
      </c>
      <c r="M58" s="113" t="str">
        <f t="shared" si="20"/>
        <v>CIRCUITINHO BSB</v>
      </c>
      <c r="N58" s="112"/>
      <c r="O58" s="18" t="s">
        <v>21</v>
      </c>
      <c r="P58" s="18" t="s">
        <v>105</v>
      </c>
    </row>
    <row r="59" spans="1:16">
      <c r="A59" s="82" t="s">
        <v>0</v>
      </c>
      <c r="B59" s="149" t="s">
        <v>127</v>
      </c>
      <c r="C59" s="7" t="s">
        <v>128</v>
      </c>
      <c r="D59" s="7"/>
      <c r="E59" s="94">
        <v>2</v>
      </c>
      <c r="F59" s="94"/>
      <c r="G59" s="94"/>
      <c r="H59" s="94"/>
      <c r="I59" s="94"/>
      <c r="J59" s="18"/>
      <c r="K59" s="18"/>
      <c r="L59" s="18"/>
      <c r="M59" s="75" t="str">
        <f>A59&amp;D59</f>
        <v>CIRCUITINHO BSB</v>
      </c>
      <c r="N59" s="18" t="s">
        <v>129</v>
      </c>
      <c r="O59" s="18"/>
      <c r="P59" s="18"/>
    </row>
    <row r="60" spans="1:16">
      <c r="A60" s="82" t="s">
        <v>0</v>
      </c>
      <c r="B60" s="150"/>
      <c r="C60" s="7" t="s">
        <v>130</v>
      </c>
      <c r="D60" s="7"/>
      <c r="E60" s="94">
        <v>2</v>
      </c>
      <c r="F60" s="94"/>
      <c r="G60" s="94"/>
      <c r="H60" s="94"/>
      <c r="I60" s="94"/>
      <c r="J60" s="18"/>
      <c r="K60" s="18"/>
      <c r="L60" s="18"/>
      <c r="M60" s="75" t="str">
        <f>A60&amp;D60</f>
        <v>CIRCUITINHO BSB</v>
      </c>
      <c r="N60" s="18" t="s">
        <v>129</v>
      </c>
      <c r="O60" s="18"/>
      <c r="P60" s="18"/>
    </row>
    <row r="61" spans="1:16">
      <c r="A61" s="82" t="s">
        <v>0</v>
      </c>
      <c r="B61" s="150"/>
      <c r="C61" s="7" t="s">
        <v>131</v>
      </c>
      <c r="D61" s="7"/>
      <c r="E61" s="94">
        <v>2</v>
      </c>
      <c r="F61" s="94"/>
      <c r="G61" s="94"/>
      <c r="H61" s="94"/>
      <c r="I61" s="94"/>
      <c r="J61" s="18"/>
      <c r="K61" s="18"/>
      <c r="L61" s="18"/>
      <c r="M61" s="75" t="str">
        <f>A61&amp;D61</f>
        <v>CIRCUITINHO BSB</v>
      </c>
      <c r="N61" s="18" t="s">
        <v>129</v>
      </c>
      <c r="O61" s="18"/>
      <c r="P61" s="18"/>
    </row>
    <row r="62" spans="1:16">
      <c r="A62" s="82" t="s">
        <v>0</v>
      </c>
      <c r="B62" s="150"/>
      <c r="C62" s="83" t="s">
        <v>132</v>
      </c>
      <c r="D62" s="83"/>
      <c r="E62" s="84">
        <v>2</v>
      </c>
      <c r="F62" s="84"/>
      <c r="G62" s="84"/>
      <c r="H62" s="84"/>
      <c r="I62" s="84"/>
      <c r="J62" s="40"/>
      <c r="K62" s="40"/>
      <c r="L62" s="40"/>
      <c r="M62" s="102" t="str">
        <f>A62&amp;D62</f>
        <v>CIRCUITINHO BSB</v>
      </c>
      <c r="N62" s="18" t="s">
        <v>129</v>
      </c>
      <c r="O62" s="40"/>
      <c r="P62" s="40"/>
    </row>
    <row r="63" spans="1:16">
      <c r="A63" s="82" t="s">
        <v>0</v>
      </c>
      <c r="B63" s="151"/>
      <c r="C63" s="83" t="s">
        <v>133</v>
      </c>
      <c r="D63" s="83"/>
      <c r="E63" s="84">
        <v>2</v>
      </c>
      <c r="F63" s="84"/>
      <c r="G63" s="84"/>
      <c r="H63" s="84"/>
      <c r="I63" s="84"/>
      <c r="J63" s="40"/>
      <c r="K63" s="40"/>
      <c r="L63" s="40"/>
      <c r="M63" s="102"/>
      <c r="N63" s="18" t="s">
        <v>129</v>
      </c>
      <c r="O63" s="40"/>
      <c r="P63" s="40"/>
    </row>
    <row r="64" spans="1:16">
      <c r="A64" s="82" t="s">
        <v>0</v>
      </c>
      <c r="B64" s="107"/>
      <c r="C64" s="7" t="s">
        <v>134</v>
      </c>
      <c r="D64" s="7"/>
      <c r="E64" s="94">
        <v>3</v>
      </c>
      <c r="F64" s="94"/>
      <c r="G64" s="94"/>
      <c r="H64" s="94"/>
      <c r="I64" s="94"/>
      <c r="J64" s="18"/>
      <c r="K64" s="18"/>
      <c r="L64" s="18"/>
      <c r="M64" s="18"/>
      <c r="N64" s="120" t="s">
        <v>26</v>
      </c>
      <c r="O64" s="18"/>
      <c r="P64" s="18"/>
    </row>
    <row r="66" spans="1:16">
      <c r="A66" s="131" t="s">
        <v>0</v>
      </c>
      <c r="B66" s="132" t="s">
        <v>135</v>
      </c>
      <c r="C66" s="133" t="s">
        <v>71</v>
      </c>
      <c r="D66" s="133" t="s">
        <v>72</v>
      </c>
      <c r="E66" s="16">
        <v>2</v>
      </c>
      <c r="F66" s="36">
        <v>7.4</v>
      </c>
      <c r="G66" s="36">
        <v>1.6</v>
      </c>
      <c r="H66" s="16" t="s">
        <v>60</v>
      </c>
      <c r="I66" s="16" t="s">
        <v>20</v>
      </c>
      <c r="J66" s="16">
        <v>7.35</v>
      </c>
      <c r="K66" s="36">
        <v>1.55</v>
      </c>
      <c r="L66" s="36">
        <f t="shared" ref="L66" si="21">K66*J66*E66</f>
        <v>22.785</v>
      </c>
      <c r="M66" s="134"/>
      <c r="N66" s="36"/>
      <c r="O66" s="36"/>
      <c r="P66" s="36"/>
    </row>
  </sheetData>
  <autoFilter ref="A3:P42" xr:uid="{E6A19D9D-7445-4B49-B72B-384045048283}">
    <filterColumn colId="9" showButton="0"/>
  </autoFilter>
  <mergeCells count="17">
    <mergeCell ref="B31:B32"/>
    <mergeCell ref="B59:B63"/>
    <mergeCell ref="R32:U32"/>
    <mergeCell ref="A1:P1"/>
    <mergeCell ref="B36:B39"/>
    <mergeCell ref="B33:B35"/>
    <mergeCell ref="B53:B58"/>
    <mergeCell ref="B48:B50"/>
    <mergeCell ref="B26:B30"/>
    <mergeCell ref="B40:B46"/>
    <mergeCell ref="V16:V25"/>
    <mergeCell ref="J3:K3"/>
    <mergeCell ref="R3:U3"/>
    <mergeCell ref="B12:B18"/>
    <mergeCell ref="B4:B11"/>
    <mergeCell ref="B19:B22"/>
    <mergeCell ref="B23:B2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6501-402E-4D8C-B50F-D61B45FF35D6}">
  <dimension ref="A1"/>
  <sheetViews>
    <sheetView workbookViewId="0">
      <selection activeCell="O33" sqref="O33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E54D-9D28-4238-97D8-E64A310B8496}">
  <dimension ref="B2:AK46"/>
  <sheetViews>
    <sheetView showGridLines="0" zoomScale="85" zoomScaleNormal="85" workbookViewId="0">
      <selection activeCell="F10" sqref="F10"/>
    </sheetView>
  </sheetViews>
  <sheetFormatPr defaultColWidth="8.85546875" defaultRowHeight="15"/>
  <cols>
    <col min="2" max="3" width="21.85546875" customWidth="1"/>
    <col min="4" max="5" width="13.7109375" customWidth="1"/>
    <col min="6" max="6" width="28.42578125" style="24" customWidth="1"/>
    <col min="8" max="9" width="24.7109375" customWidth="1"/>
    <col min="10" max="11" width="20.42578125" customWidth="1"/>
    <col min="12" max="12" width="17.28515625" style="24" customWidth="1"/>
    <col min="14" max="16" width="24.140625" customWidth="1"/>
    <col min="17" max="17" width="11.85546875" customWidth="1"/>
    <col min="18" max="18" width="15.28515625" style="24" customWidth="1"/>
    <col min="20" max="20" width="22.140625" customWidth="1"/>
    <col min="21" max="21" width="20.7109375" bestFit="1" customWidth="1"/>
    <col min="22" max="22" width="21.7109375" customWidth="1"/>
    <col min="23" max="23" width="17.85546875" customWidth="1"/>
    <col min="24" max="24" width="9.140625" style="24"/>
    <col min="26" max="26" width="17.140625" customWidth="1"/>
    <col min="27" max="27" width="18.140625" bestFit="1" customWidth="1"/>
    <col min="28" max="28" width="15.42578125" customWidth="1"/>
    <col min="29" max="29" width="10.140625" bestFit="1" customWidth="1"/>
    <col min="30" max="30" width="8.42578125" bestFit="1" customWidth="1"/>
    <col min="31" max="31" width="13.42578125" customWidth="1"/>
    <col min="33" max="33" width="10.85546875" customWidth="1"/>
    <col min="34" max="34" width="24.28515625" customWidth="1"/>
    <col min="35" max="35" width="13.85546875" customWidth="1"/>
    <col min="37" max="37" width="14.85546875" customWidth="1"/>
  </cols>
  <sheetData>
    <row r="2" spans="2:37">
      <c r="B2" s="165" t="s">
        <v>136</v>
      </c>
      <c r="C2" s="166"/>
      <c r="D2" s="166"/>
      <c r="E2" s="166"/>
      <c r="F2" s="167"/>
      <c r="G2" s="6"/>
      <c r="H2" s="165" t="s">
        <v>57</v>
      </c>
      <c r="I2" s="166"/>
      <c r="J2" s="166"/>
      <c r="K2" s="166"/>
      <c r="L2" s="167"/>
      <c r="M2" s="6"/>
      <c r="N2" s="165" t="s">
        <v>70</v>
      </c>
      <c r="O2" s="166"/>
      <c r="P2" s="166"/>
      <c r="Q2" s="166"/>
      <c r="R2" s="167"/>
      <c r="T2" s="165" t="s">
        <v>137</v>
      </c>
      <c r="U2" s="166"/>
      <c r="V2" s="166"/>
      <c r="W2" s="166"/>
      <c r="X2" s="167"/>
      <c r="Z2" s="165" t="s">
        <v>138</v>
      </c>
      <c r="AA2" s="166"/>
      <c r="AB2" s="166"/>
      <c r="AC2" s="166"/>
      <c r="AD2" s="166"/>
      <c r="AE2" s="167"/>
      <c r="AG2" s="165" t="s">
        <v>138</v>
      </c>
      <c r="AH2" s="166"/>
      <c r="AI2" s="166"/>
      <c r="AJ2" s="166"/>
      <c r="AK2" s="167"/>
    </row>
    <row r="3" spans="2:37" ht="6" customHeight="1">
      <c r="B3" s="19"/>
      <c r="C3" s="19"/>
      <c r="D3" s="19"/>
      <c r="E3" s="19"/>
      <c r="F3" s="33"/>
      <c r="G3" s="6"/>
      <c r="H3" s="5"/>
      <c r="I3" s="5"/>
      <c r="J3" s="5"/>
      <c r="K3" s="5"/>
      <c r="L3" s="23"/>
      <c r="M3" s="6"/>
      <c r="N3" s="19"/>
      <c r="O3" s="19"/>
      <c r="P3" s="19"/>
      <c r="Q3" s="19"/>
      <c r="R3" s="33"/>
    </row>
    <row r="4" spans="2:37">
      <c r="B4" s="4" t="e">
        <f>#REF!</f>
        <v>#REF!</v>
      </c>
      <c r="C4" s="4" t="s">
        <v>139</v>
      </c>
      <c r="D4" s="1" t="s">
        <v>140</v>
      </c>
      <c r="E4" s="1" t="s">
        <v>141</v>
      </c>
      <c r="F4" s="34" t="s">
        <v>142</v>
      </c>
      <c r="H4" s="20" t="e">
        <f>#REF!</f>
        <v>#REF!</v>
      </c>
      <c r="I4" s="4" t="s">
        <v>139</v>
      </c>
      <c r="J4" s="16" t="s">
        <v>140</v>
      </c>
      <c r="K4" s="1" t="s">
        <v>141</v>
      </c>
      <c r="L4" s="34" t="s">
        <v>142</v>
      </c>
      <c r="N4" s="11" t="e">
        <f>#REF!</f>
        <v>#REF!</v>
      </c>
      <c r="O4" s="4" t="s">
        <v>139</v>
      </c>
      <c r="P4" s="16" t="s">
        <v>140</v>
      </c>
      <c r="Q4" s="1" t="s">
        <v>141</v>
      </c>
      <c r="R4" s="34" t="s">
        <v>142</v>
      </c>
      <c r="U4" s="20" t="s">
        <v>139</v>
      </c>
      <c r="V4" s="16" t="s">
        <v>140</v>
      </c>
      <c r="W4" s="16" t="s">
        <v>141</v>
      </c>
      <c r="X4" s="36" t="s">
        <v>142</v>
      </c>
      <c r="AA4" s="11" t="e">
        <f>#REF!</f>
        <v>#REF!</v>
      </c>
      <c r="AB4" s="4" t="s">
        <v>139</v>
      </c>
      <c r="AC4" s="16" t="s">
        <v>140</v>
      </c>
      <c r="AD4" s="1" t="s">
        <v>141</v>
      </c>
      <c r="AE4" s="34" t="s">
        <v>142</v>
      </c>
      <c r="AH4" s="20" t="s">
        <v>139</v>
      </c>
      <c r="AI4" s="16" t="s">
        <v>140</v>
      </c>
      <c r="AJ4" s="16" t="s">
        <v>141</v>
      </c>
      <c r="AK4" s="36" t="s">
        <v>142</v>
      </c>
    </row>
    <row r="5" spans="2:37">
      <c r="B5" s="163" t="s">
        <v>143</v>
      </c>
      <c r="C5" s="13" t="s">
        <v>144</v>
      </c>
      <c r="D5" s="3" t="s">
        <v>23</v>
      </c>
      <c r="E5" s="3" t="e">
        <f>#REF!</f>
        <v>#REF!</v>
      </c>
      <c r="F5" s="27" t="e">
        <f>E5*B4</f>
        <v>#REF!</v>
      </c>
      <c r="H5" s="15" t="s">
        <v>145</v>
      </c>
      <c r="I5" s="15" t="s">
        <v>146</v>
      </c>
      <c r="J5" s="21" t="s">
        <v>23</v>
      </c>
      <c r="K5" s="21" t="e">
        <f>#REF!</f>
        <v>#REF!</v>
      </c>
      <c r="L5" s="18" t="e">
        <f>K5*H4</f>
        <v>#REF!</v>
      </c>
      <c r="N5" s="17" t="s">
        <v>147</v>
      </c>
      <c r="O5" s="28" t="s">
        <v>144</v>
      </c>
      <c r="P5" s="3" t="s">
        <v>23</v>
      </c>
      <c r="Q5" s="25" t="e">
        <f>#REF!</f>
        <v>#REF!</v>
      </c>
      <c r="R5" s="27" t="e">
        <f>2*Q5*N4</f>
        <v>#REF!</v>
      </c>
      <c r="T5" s="4" t="e">
        <f>#REF!</f>
        <v>#REF!</v>
      </c>
      <c r="U5" s="30" t="s">
        <v>148</v>
      </c>
      <c r="V5" s="9" t="s">
        <v>23</v>
      </c>
      <c r="W5" s="32" t="e">
        <f>#REF!</f>
        <v>#REF!</v>
      </c>
      <c r="X5" s="31" t="e">
        <f>W5*T5</f>
        <v>#REF!</v>
      </c>
      <c r="AA5" s="17" t="s">
        <v>149</v>
      </c>
      <c r="AB5" s="28" t="s">
        <v>144</v>
      </c>
      <c r="AC5" s="3" t="s">
        <v>23</v>
      </c>
      <c r="AD5" s="25" t="e">
        <f>#REF!</f>
        <v>#REF!</v>
      </c>
      <c r="AE5" s="41" t="e">
        <f>AD5*AA4</f>
        <v>#REF!</v>
      </c>
      <c r="AG5" s="4" t="e">
        <f>#REF!</f>
        <v>#REF!</v>
      </c>
      <c r="AH5" s="30" t="s">
        <v>150</v>
      </c>
      <c r="AI5" s="9" t="s">
        <v>19</v>
      </c>
      <c r="AJ5" s="32" t="e">
        <f>#REF!</f>
        <v>#REF!</v>
      </c>
      <c r="AK5" s="31" t="e">
        <f>AJ5*AG5</f>
        <v>#REF!</v>
      </c>
    </row>
    <row r="6" spans="2:37">
      <c r="B6" s="164"/>
      <c r="C6" s="13" t="s">
        <v>146</v>
      </c>
      <c r="D6" s="3" t="s">
        <v>23</v>
      </c>
      <c r="E6" s="3" t="e">
        <f>#REF!</f>
        <v>#REF!</v>
      </c>
      <c r="F6" s="41" t="e">
        <f>E6*B4</f>
        <v>#REF!</v>
      </c>
      <c r="H6" s="2"/>
      <c r="I6" s="2"/>
      <c r="L6" s="35" t="e">
        <f>SUM(L5:L5)</f>
        <v>#REF!</v>
      </c>
      <c r="N6" s="45"/>
      <c r="O6" s="45"/>
      <c r="P6" s="45"/>
      <c r="R6" s="35" t="e">
        <f>SUM(R4:R5)</f>
        <v>#REF!</v>
      </c>
      <c r="T6" s="4" t="e">
        <f>#REF!</f>
        <v>#REF!</v>
      </c>
      <c r="U6" s="14" t="s">
        <v>151</v>
      </c>
      <c r="V6" s="9" t="s">
        <v>23</v>
      </c>
      <c r="W6" s="32" t="e">
        <f>#REF!</f>
        <v>#REF!</v>
      </c>
      <c r="X6" s="31" t="e">
        <f>W6*T6</f>
        <v>#REF!</v>
      </c>
      <c r="AE6" s="35" t="e">
        <f>SUM(AE5)</f>
        <v>#REF!</v>
      </c>
      <c r="AG6" s="4" t="e">
        <f>#REF!</f>
        <v>#REF!</v>
      </c>
      <c r="AH6" s="14" t="s">
        <v>42</v>
      </c>
      <c r="AI6" s="9" t="s">
        <v>19</v>
      </c>
      <c r="AJ6" s="32" t="e">
        <f>#REF!</f>
        <v>#REF!</v>
      </c>
      <c r="AK6" s="18" t="e">
        <f t="shared" ref="AK6" si="0">AJ6*AG6</f>
        <v>#REF!</v>
      </c>
    </row>
    <row r="7" spans="2:37">
      <c r="F7" s="35" t="e">
        <f>SUM(F5:F6)</f>
        <v>#REF!</v>
      </c>
      <c r="H7" s="2"/>
      <c r="I7" s="2"/>
      <c r="N7" s="45"/>
      <c r="O7" s="45"/>
      <c r="P7" s="45"/>
      <c r="R7"/>
      <c r="T7" s="4" t="e">
        <f>#REF!</f>
        <v>#REF!</v>
      </c>
      <c r="U7" s="14" t="s">
        <v>152</v>
      </c>
      <c r="V7" s="9" t="s">
        <v>23</v>
      </c>
      <c r="W7" s="32" t="e">
        <f>#REF!</f>
        <v>#REF!</v>
      </c>
      <c r="X7" s="18" t="e">
        <f t="shared" ref="X7:X11" si="1">W7*T7</f>
        <v>#REF!</v>
      </c>
      <c r="AK7" s="35" t="e">
        <f>SUM(AK5:AK6)</f>
        <v>#REF!</v>
      </c>
    </row>
    <row r="8" spans="2:37">
      <c r="F8" s="22"/>
      <c r="H8" s="11" t="e">
        <f>#REF!</f>
        <v>#REF!</v>
      </c>
      <c r="I8" s="11" t="s">
        <v>139</v>
      </c>
      <c r="J8" s="1" t="s">
        <v>140</v>
      </c>
      <c r="K8" s="1" t="s">
        <v>141</v>
      </c>
      <c r="L8" s="34" t="s">
        <v>142</v>
      </c>
      <c r="N8" s="11" t="e">
        <f>#REF!</f>
        <v>#REF!</v>
      </c>
      <c r="O8" s="4" t="s">
        <v>139</v>
      </c>
      <c r="P8" s="16" t="s">
        <v>140</v>
      </c>
      <c r="Q8" s="1" t="s">
        <v>141</v>
      </c>
      <c r="R8" s="34" t="s">
        <v>142</v>
      </c>
      <c r="T8" s="4" t="e">
        <f>#REF!</f>
        <v>#REF!</v>
      </c>
      <c r="U8" s="14" t="s">
        <v>153</v>
      </c>
      <c r="V8" s="9" t="s">
        <v>23</v>
      </c>
      <c r="W8" s="32" t="e">
        <f>#REF!</f>
        <v>#REF!</v>
      </c>
      <c r="X8" s="18" t="e">
        <f t="shared" si="1"/>
        <v>#REF!</v>
      </c>
      <c r="AA8" s="11" t="s">
        <v>154</v>
      </c>
      <c r="AB8" s="11" t="s">
        <v>139</v>
      </c>
      <c r="AC8" s="16" t="s">
        <v>140</v>
      </c>
      <c r="AD8" s="1" t="s">
        <v>141</v>
      </c>
      <c r="AE8" s="34" t="s">
        <v>142</v>
      </c>
    </row>
    <row r="9" spans="2:37">
      <c r="B9" s="4" t="e">
        <f>#REF!</f>
        <v>#REF!</v>
      </c>
      <c r="C9" s="4" t="s">
        <v>139</v>
      </c>
      <c r="D9" s="1" t="s">
        <v>140</v>
      </c>
      <c r="E9" s="1"/>
      <c r="F9" s="34" t="s">
        <v>155</v>
      </c>
      <c r="H9" s="15" t="s">
        <v>156</v>
      </c>
      <c r="I9" s="15" t="s">
        <v>146</v>
      </c>
      <c r="J9" s="12" t="s">
        <v>23</v>
      </c>
      <c r="K9" s="25" t="e">
        <f>#REF!</f>
        <v>#REF!</v>
      </c>
      <c r="L9" s="27" t="e">
        <f>K9*H8</f>
        <v>#REF!</v>
      </c>
      <c r="N9" s="169" t="s">
        <v>157</v>
      </c>
      <c r="O9" s="28" t="s">
        <v>144</v>
      </c>
      <c r="P9" s="3" t="s">
        <v>23</v>
      </c>
      <c r="Q9" s="25" t="e">
        <f>#REF!</f>
        <v>#REF!</v>
      </c>
      <c r="R9" s="27" t="e">
        <f>2*Q9*N8</f>
        <v>#REF!</v>
      </c>
      <c r="T9" s="4" t="e">
        <f>#REF!</f>
        <v>#REF!</v>
      </c>
      <c r="U9" s="14" t="s">
        <v>158</v>
      </c>
      <c r="V9" s="9" t="s">
        <v>23</v>
      </c>
      <c r="W9" s="32" t="e">
        <f>#REF!</f>
        <v>#REF!</v>
      </c>
      <c r="X9" s="18" t="e">
        <f t="shared" si="1"/>
        <v>#REF!</v>
      </c>
      <c r="Z9" s="168" t="s">
        <v>159</v>
      </c>
      <c r="AA9" s="17" t="e">
        <f>#REF!</f>
        <v>#REF!</v>
      </c>
      <c r="AB9" s="15" t="s">
        <v>144</v>
      </c>
      <c r="AC9" s="42" t="s">
        <v>23</v>
      </c>
      <c r="AD9" s="25" t="e">
        <f>#REF!</f>
        <v>#REF!</v>
      </c>
      <c r="AE9" s="27" t="e">
        <f>AD9*AA9</f>
        <v>#REF!</v>
      </c>
    </row>
    <row r="10" spans="2:37">
      <c r="B10" s="163" t="s">
        <v>160</v>
      </c>
      <c r="C10" s="13" t="s">
        <v>144</v>
      </c>
      <c r="D10" s="3" t="s">
        <v>23</v>
      </c>
      <c r="E10" s="3" t="e">
        <f>#REF!</f>
        <v>#REF!</v>
      </c>
      <c r="F10" s="27" t="e">
        <f>E10*B9</f>
        <v>#REF!</v>
      </c>
      <c r="H10" s="2"/>
      <c r="I10" s="2"/>
      <c r="L10" s="35" t="e">
        <f>SUM(L9)</f>
        <v>#REF!</v>
      </c>
      <c r="N10" s="169"/>
      <c r="O10" s="28" t="s">
        <v>161</v>
      </c>
      <c r="P10" s="3" t="s">
        <v>23</v>
      </c>
      <c r="Q10" s="25" t="e">
        <f>#REF!</f>
        <v>#REF!</v>
      </c>
      <c r="R10" s="27" t="e">
        <f>4*Q10*N8</f>
        <v>#REF!</v>
      </c>
      <c r="T10" s="4" t="e">
        <f>#REF!</f>
        <v>#REF!</v>
      </c>
      <c r="U10" s="14" t="s">
        <v>162</v>
      </c>
      <c r="V10" s="9" t="s">
        <v>23</v>
      </c>
      <c r="W10" s="32" t="e">
        <f>#REF!</f>
        <v>#REF!</v>
      </c>
      <c r="X10" s="18" t="e">
        <f t="shared" si="1"/>
        <v>#REF!</v>
      </c>
      <c r="Z10" s="168"/>
      <c r="AA10" s="17" t="e">
        <f>#REF!</f>
        <v>#REF!</v>
      </c>
      <c r="AB10" s="15" t="s">
        <v>163</v>
      </c>
      <c r="AC10" s="42" t="s">
        <v>23</v>
      </c>
      <c r="AD10" s="25" t="e">
        <f>#REF!</f>
        <v>#REF!</v>
      </c>
      <c r="AE10" s="27" t="e">
        <f>AD10*AA10</f>
        <v>#REF!</v>
      </c>
    </row>
    <row r="11" spans="2:37">
      <c r="B11" s="164"/>
      <c r="C11" s="13" t="s">
        <v>146</v>
      </c>
      <c r="D11" s="3" t="s">
        <v>23</v>
      </c>
      <c r="E11" s="3" t="e">
        <f>#REF!</f>
        <v>#REF!</v>
      </c>
      <c r="F11" s="41" t="e">
        <f>E11*B9</f>
        <v>#REF!</v>
      </c>
      <c r="H11" s="2"/>
      <c r="I11" s="2"/>
      <c r="R11" s="35" t="e">
        <f>SUM(R9:R10)</f>
        <v>#REF!</v>
      </c>
      <c r="T11" s="4" t="e">
        <f>#REF!</f>
        <v>#REF!</v>
      </c>
      <c r="U11" s="14" t="s">
        <v>164</v>
      </c>
      <c r="V11" s="9" t="s">
        <v>23</v>
      </c>
      <c r="W11" s="32" t="e">
        <f>#REF!</f>
        <v>#REF!</v>
      </c>
      <c r="X11" s="40" t="e">
        <f t="shared" si="1"/>
        <v>#REF!</v>
      </c>
      <c r="AE11" s="35" t="e">
        <f>SUM(AE9:AE10)</f>
        <v>#REF!</v>
      </c>
      <c r="AG11" s="165" t="s">
        <v>165</v>
      </c>
      <c r="AH11" s="166"/>
      <c r="AI11" s="166"/>
      <c r="AJ11" s="166"/>
      <c r="AK11" s="167"/>
    </row>
    <row r="12" spans="2:37">
      <c r="F12" s="35" t="e">
        <f>SUM(F10:F11)</f>
        <v>#REF!</v>
      </c>
      <c r="H12" s="11" t="e">
        <f>#REF!</f>
        <v>#REF!</v>
      </c>
      <c r="I12" s="11" t="s">
        <v>139</v>
      </c>
      <c r="J12" s="10" t="s">
        <v>140</v>
      </c>
      <c r="K12" s="10" t="s">
        <v>141</v>
      </c>
      <c r="L12" s="39" t="s">
        <v>142</v>
      </c>
      <c r="X12" s="38" t="e">
        <f>SUM(X5:X11)</f>
        <v>#REF!</v>
      </c>
      <c r="AE12" s="24"/>
      <c r="AG12" s="5"/>
      <c r="AH12" s="20" t="s">
        <v>139</v>
      </c>
      <c r="AI12" s="16" t="s">
        <v>140</v>
      </c>
      <c r="AJ12" s="16" t="s">
        <v>141</v>
      </c>
      <c r="AK12" s="36" t="s">
        <v>142</v>
      </c>
    </row>
    <row r="13" spans="2:37">
      <c r="F13" s="22"/>
      <c r="H13" s="15" t="s">
        <v>166</v>
      </c>
      <c r="I13" s="15" t="s">
        <v>146</v>
      </c>
      <c r="J13" s="21" t="s">
        <v>23</v>
      </c>
      <c r="K13" s="26" t="e">
        <f>#REF!</f>
        <v>#REF!</v>
      </c>
      <c r="L13" s="40" t="e">
        <f>K13*H12</f>
        <v>#REF!</v>
      </c>
      <c r="N13" s="11" t="e">
        <f>#REF!</f>
        <v>#REF!</v>
      </c>
      <c r="O13" s="4" t="s">
        <v>139</v>
      </c>
      <c r="P13" s="16" t="s">
        <v>140</v>
      </c>
      <c r="Q13" s="1" t="s">
        <v>141</v>
      </c>
      <c r="R13" s="34" t="s">
        <v>142</v>
      </c>
      <c r="AA13" s="11" t="s">
        <v>154</v>
      </c>
      <c r="AB13" s="11" t="s">
        <v>139</v>
      </c>
      <c r="AC13" s="16" t="s">
        <v>140</v>
      </c>
      <c r="AD13" s="1" t="s">
        <v>141</v>
      </c>
      <c r="AE13" s="34" t="s">
        <v>142</v>
      </c>
      <c r="AG13" s="4" t="e">
        <f>#REF!</f>
        <v>#REF!</v>
      </c>
      <c r="AH13" s="14" t="s">
        <v>167</v>
      </c>
      <c r="AI13" s="9" t="s">
        <v>31</v>
      </c>
      <c r="AJ13" s="9" t="e">
        <f>#REF!</f>
        <v>#REF!</v>
      </c>
      <c r="AK13" s="9" t="e">
        <f>AJ13*AG13</f>
        <v>#REF!</v>
      </c>
    </row>
    <row r="14" spans="2:37">
      <c r="B14" s="4" t="e">
        <f>#REF!</f>
        <v>#REF!</v>
      </c>
      <c r="C14" s="4" t="s">
        <v>139</v>
      </c>
      <c r="D14" s="1" t="s">
        <v>140</v>
      </c>
      <c r="E14" s="1"/>
      <c r="F14" s="34" t="s">
        <v>155</v>
      </c>
      <c r="L14" s="35" t="e">
        <f>SUM(L13)</f>
        <v>#REF!</v>
      </c>
      <c r="N14" s="169" t="s">
        <v>168</v>
      </c>
      <c r="O14" s="28" t="s">
        <v>144</v>
      </c>
      <c r="P14" s="3" t="s">
        <v>23</v>
      </c>
      <c r="Q14" s="25" t="e">
        <f>#REF!</f>
        <v>#REF!</v>
      </c>
      <c r="R14" s="27" t="e">
        <f>2*Q14*N13</f>
        <v>#REF!</v>
      </c>
      <c r="Z14" s="169" t="s">
        <v>169</v>
      </c>
      <c r="AA14" s="17" t="e">
        <f>#REF!</f>
        <v>#REF!</v>
      </c>
      <c r="AB14" s="15" t="s">
        <v>144</v>
      </c>
      <c r="AC14" s="42" t="s">
        <v>23</v>
      </c>
      <c r="AD14" s="25" t="e">
        <f>#REF!</f>
        <v>#REF!</v>
      </c>
      <c r="AE14" s="27" t="e">
        <f>AD14*AA14</f>
        <v>#REF!</v>
      </c>
    </row>
    <row r="15" spans="2:37">
      <c r="B15" s="163" t="s">
        <v>170</v>
      </c>
      <c r="C15" s="13" t="s">
        <v>144</v>
      </c>
      <c r="D15" s="3" t="s">
        <v>23</v>
      </c>
      <c r="E15" s="3" t="e">
        <f>#REF!</f>
        <v>#REF!</v>
      </c>
      <c r="F15" s="27" t="e">
        <f>E15*B14</f>
        <v>#REF!</v>
      </c>
      <c r="N15" s="169"/>
      <c r="O15" s="28" t="s">
        <v>161</v>
      </c>
      <c r="P15" s="3" t="s">
        <v>23</v>
      </c>
      <c r="Q15" s="25" t="e">
        <f>#REF!</f>
        <v>#REF!</v>
      </c>
      <c r="R15" s="27" t="e">
        <f>4*Q15*N13</f>
        <v>#REF!</v>
      </c>
      <c r="Z15" s="169"/>
      <c r="AA15" s="17" t="e">
        <f>#REF!</f>
        <v>#REF!</v>
      </c>
      <c r="AB15" s="15" t="s">
        <v>163</v>
      </c>
      <c r="AC15" s="42" t="s">
        <v>23</v>
      </c>
      <c r="AD15" s="25" t="e">
        <f>#REF!</f>
        <v>#REF!</v>
      </c>
      <c r="AE15" s="27" t="e">
        <f>AD15*AA15</f>
        <v>#REF!</v>
      </c>
    </row>
    <row r="16" spans="2:37">
      <c r="B16" s="164"/>
      <c r="C16" s="13" t="s">
        <v>146</v>
      </c>
      <c r="D16" s="3" t="s">
        <v>23</v>
      </c>
      <c r="E16" s="3" t="e">
        <f>#REF!</f>
        <v>#REF!</v>
      </c>
      <c r="F16" s="41" t="e">
        <f>E16*B14</f>
        <v>#REF!</v>
      </c>
      <c r="R16" s="35" t="e">
        <f>SUM(R14:R15)</f>
        <v>#REF!</v>
      </c>
      <c r="AE16" s="35" t="e">
        <f>SUM(AE14:AE15)</f>
        <v>#REF!</v>
      </c>
    </row>
    <row r="17" spans="6:29">
      <c r="F17" s="35" t="e">
        <f>SUM(F15:F16)</f>
        <v>#REF!</v>
      </c>
      <c r="H17" s="170" t="s">
        <v>171</v>
      </c>
      <c r="I17" s="170"/>
      <c r="J17" s="170"/>
      <c r="K17" s="170"/>
      <c r="L17" s="170"/>
      <c r="AC17" s="2"/>
    </row>
    <row r="18" spans="6:29">
      <c r="H18" s="20">
        <v>0</v>
      </c>
      <c r="I18" s="20" t="s">
        <v>139</v>
      </c>
      <c r="J18" s="16" t="s">
        <v>140</v>
      </c>
      <c r="K18" s="16" t="s">
        <v>141</v>
      </c>
      <c r="L18" s="36" t="s">
        <v>142</v>
      </c>
      <c r="N18" s="20" t="e">
        <f>#REF!</f>
        <v>#REF!</v>
      </c>
      <c r="O18" s="20" t="s">
        <v>139</v>
      </c>
      <c r="P18" s="16" t="s">
        <v>140</v>
      </c>
      <c r="Q18" s="16" t="s">
        <v>141</v>
      </c>
      <c r="R18" s="36" t="s">
        <v>142</v>
      </c>
    </row>
    <row r="19" spans="6:29">
      <c r="H19" s="171" t="s">
        <v>172</v>
      </c>
      <c r="I19" s="15" t="s">
        <v>173</v>
      </c>
      <c r="J19" s="7" t="s">
        <v>23</v>
      </c>
      <c r="K19" s="8" t="e">
        <f>#REF!</f>
        <v>#REF!</v>
      </c>
      <c r="L19" s="18" t="e">
        <f>K19*H18</f>
        <v>#REF!</v>
      </c>
      <c r="N19" s="169" t="s">
        <v>174</v>
      </c>
      <c r="O19" s="15" t="s">
        <v>144</v>
      </c>
      <c r="P19" s="21" t="s">
        <v>23</v>
      </c>
      <c r="Q19" s="26" t="e">
        <f>#REF!</f>
        <v>#REF!</v>
      </c>
      <c r="R19" s="18" t="e">
        <f>2*Q19*N18</f>
        <v>#REF!</v>
      </c>
    </row>
    <row r="20" spans="6:29">
      <c r="H20" s="172"/>
      <c r="I20" s="15" t="s">
        <v>175</v>
      </c>
      <c r="J20" s="7" t="s">
        <v>28</v>
      </c>
      <c r="K20" s="8" t="e">
        <f>#REF!</f>
        <v>#REF!</v>
      </c>
      <c r="L20" s="18" t="e">
        <f>K20*H18</f>
        <v>#REF!</v>
      </c>
      <c r="N20" s="169"/>
      <c r="O20" s="15" t="s">
        <v>161</v>
      </c>
      <c r="P20" s="21" t="s">
        <v>23</v>
      </c>
      <c r="Q20" s="26" t="e">
        <f>#REF!</f>
        <v>#REF!</v>
      </c>
      <c r="R20" s="18" t="e">
        <f>4*Q20*N18</f>
        <v>#REF!</v>
      </c>
    </row>
    <row r="21" spans="6:29">
      <c r="L21" s="35" t="e">
        <f>SUM(L19:L20)</f>
        <v>#REF!</v>
      </c>
      <c r="R21" s="37" t="e">
        <f>SUM(R19:R20)</f>
        <v>#REF!</v>
      </c>
    </row>
    <row r="23" spans="6:29">
      <c r="N23" s="11" t="e">
        <f>#REF!</f>
        <v>#REF!</v>
      </c>
      <c r="O23" s="4" t="s">
        <v>139</v>
      </c>
      <c r="P23" s="16" t="s">
        <v>140</v>
      </c>
      <c r="Q23" s="1" t="s">
        <v>141</v>
      </c>
      <c r="R23" s="34" t="s">
        <v>142</v>
      </c>
    </row>
    <row r="24" spans="6:29">
      <c r="N24" s="169" t="s">
        <v>176</v>
      </c>
      <c r="O24" s="29" t="s">
        <v>144</v>
      </c>
      <c r="P24" s="3" t="s">
        <v>23</v>
      </c>
      <c r="Q24" s="25" t="e">
        <f>#REF!</f>
        <v>#REF!</v>
      </c>
      <c r="R24" s="27" t="e">
        <f>2*Q24*N23</f>
        <v>#REF!</v>
      </c>
    </row>
    <row r="25" spans="6:29">
      <c r="N25" s="169"/>
      <c r="O25" s="29" t="s">
        <v>161</v>
      </c>
      <c r="P25" s="21" t="s">
        <v>23</v>
      </c>
      <c r="Q25" s="26" t="e">
        <f>#REF!</f>
        <v>#REF!</v>
      </c>
      <c r="R25" s="18" t="e">
        <f>4*Q25*N23</f>
        <v>#REF!</v>
      </c>
    </row>
    <row r="26" spans="6:29">
      <c r="R26" s="37" t="e">
        <f>SUM(R24:R25)</f>
        <v>#REF!</v>
      </c>
    </row>
    <row r="28" spans="6:29">
      <c r="N28" s="11" t="e">
        <f>#REF!</f>
        <v>#REF!</v>
      </c>
      <c r="O28" s="4" t="s">
        <v>139</v>
      </c>
      <c r="P28" s="16" t="s">
        <v>140</v>
      </c>
      <c r="Q28" s="1" t="s">
        <v>141</v>
      </c>
      <c r="R28" s="34" t="s">
        <v>142</v>
      </c>
    </row>
    <row r="29" spans="6:29">
      <c r="N29" s="169" t="s">
        <v>177</v>
      </c>
      <c r="O29" s="29" t="s">
        <v>144</v>
      </c>
      <c r="P29" s="3" t="s">
        <v>23</v>
      </c>
      <c r="Q29" s="25" t="e">
        <f>#REF!</f>
        <v>#REF!</v>
      </c>
      <c r="R29" s="27" t="e">
        <f>2*Q29*N28</f>
        <v>#REF!</v>
      </c>
    </row>
    <row r="30" spans="6:29">
      <c r="N30" s="169"/>
      <c r="O30" s="29" t="s">
        <v>161</v>
      </c>
      <c r="P30" s="21" t="s">
        <v>23</v>
      </c>
      <c r="Q30" s="26" t="e">
        <f>#REF!</f>
        <v>#REF!</v>
      </c>
      <c r="R30" s="18" t="e">
        <f>4*Q30*N28</f>
        <v>#REF!</v>
      </c>
    </row>
    <row r="31" spans="6:29">
      <c r="R31" s="37" t="e">
        <f>SUM(R29:R30)</f>
        <v>#REF!</v>
      </c>
    </row>
    <row r="33" spans="14:18">
      <c r="N33" s="20" t="e">
        <f>#REF!</f>
        <v>#REF!</v>
      </c>
      <c r="O33" s="20" t="s">
        <v>139</v>
      </c>
      <c r="P33" s="16" t="s">
        <v>140</v>
      </c>
      <c r="Q33" s="16" t="s">
        <v>141</v>
      </c>
      <c r="R33" s="36" t="s">
        <v>142</v>
      </c>
    </row>
    <row r="34" spans="14:18">
      <c r="N34" s="169" t="s">
        <v>178</v>
      </c>
      <c r="O34" s="15" t="s">
        <v>144</v>
      </c>
      <c r="P34" s="21" t="s">
        <v>23</v>
      </c>
      <c r="Q34" s="26" t="e">
        <f>#REF!</f>
        <v>#REF!</v>
      </c>
      <c r="R34" s="18" t="e">
        <f>2*Q34*N33</f>
        <v>#REF!</v>
      </c>
    </row>
    <row r="35" spans="14:18">
      <c r="N35" s="169"/>
      <c r="O35" s="15" t="s">
        <v>161</v>
      </c>
      <c r="P35" s="21" t="s">
        <v>23</v>
      </c>
      <c r="Q35" s="26" t="e">
        <f>#REF!</f>
        <v>#REF!</v>
      </c>
      <c r="R35" s="18" t="e">
        <f>4*Q35*N33</f>
        <v>#REF!</v>
      </c>
    </row>
    <row r="36" spans="14:18">
      <c r="R36" s="37" t="e">
        <f>SUM(R34:R35)</f>
        <v>#REF!</v>
      </c>
    </row>
    <row r="38" spans="14:18">
      <c r="N38" s="11" t="e">
        <f>#REF!</f>
        <v>#REF!</v>
      </c>
      <c r="O38" s="4" t="s">
        <v>139</v>
      </c>
      <c r="P38" s="16" t="s">
        <v>140</v>
      </c>
      <c r="Q38" s="1" t="s">
        <v>141</v>
      </c>
      <c r="R38" s="34" t="s">
        <v>142</v>
      </c>
    </row>
    <row r="39" spans="14:18">
      <c r="N39" s="169" t="s">
        <v>179</v>
      </c>
      <c r="O39" s="29" t="s">
        <v>144</v>
      </c>
      <c r="P39" s="3" t="s">
        <v>23</v>
      </c>
      <c r="Q39" s="25" t="e">
        <f>#REF!</f>
        <v>#REF!</v>
      </c>
      <c r="R39" s="27" t="e">
        <f>2*Q39*N38</f>
        <v>#REF!</v>
      </c>
    </row>
    <row r="40" spans="14:18">
      <c r="N40" s="169"/>
      <c r="O40" s="29" t="s">
        <v>161</v>
      </c>
      <c r="P40" s="21" t="s">
        <v>23</v>
      </c>
      <c r="Q40" s="26" t="e">
        <f>#REF!</f>
        <v>#REF!</v>
      </c>
      <c r="R40" s="18" t="e">
        <f>4*Q40*N38</f>
        <v>#REF!</v>
      </c>
    </row>
    <row r="41" spans="14:18">
      <c r="R41" s="37" t="e">
        <f>SUM(R39:R40)</f>
        <v>#REF!</v>
      </c>
    </row>
    <row r="43" spans="14:18">
      <c r="N43" s="11" t="e">
        <f>#REF!</f>
        <v>#REF!</v>
      </c>
      <c r="O43" s="4" t="s">
        <v>139</v>
      </c>
      <c r="P43" s="16" t="s">
        <v>140</v>
      </c>
      <c r="Q43" s="1" t="s">
        <v>141</v>
      </c>
      <c r="R43" s="34" t="s">
        <v>142</v>
      </c>
    </row>
    <row r="44" spans="14:18">
      <c r="N44" s="169" t="s">
        <v>180</v>
      </c>
      <c r="O44" s="29" t="s">
        <v>144</v>
      </c>
      <c r="P44" s="3" t="s">
        <v>23</v>
      </c>
      <c r="Q44" s="25" t="e">
        <f>#REF!</f>
        <v>#REF!</v>
      </c>
      <c r="R44" s="27" t="e">
        <f>2*Q44*N43</f>
        <v>#REF!</v>
      </c>
    </row>
    <row r="45" spans="14:18">
      <c r="N45" s="169"/>
      <c r="O45" s="29" t="s">
        <v>161</v>
      </c>
      <c r="P45" s="21" t="s">
        <v>23</v>
      </c>
      <c r="Q45" s="26" t="e">
        <f>#REF!</f>
        <v>#REF!</v>
      </c>
      <c r="R45" s="18" t="e">
        <f>4*Q45*N43</f>
        <v>#REF!</v>
      </c>
    </row>
    <row r="46" spans="14:18">
      <c r="R46" s="37" t="e">
        <f>SUM(R44:R45)</f>
        <v>#REF!</v>
      </c>
    </row>
  </sheetData>
  <mergeCells count="22">
    <mergeCell ref="N19:N20"/>
    <mergeCell ref="N34:N35"/>
    <mergeCell ref="N39:N40"/>
    <mergeCell ref="N44:N45"/>
    <mergeCell ref="H17:L17"/>
    <mergeCell ref="H19:H20"/>
    <mergeCell ref="N24:N25"/>
    <mergeCell ref="N29:N30"/>
    <mergeCell ref="B15:B16"/>
    <mergeCell ref="AG2:AK2"/>
    <mergeCell ref="AG11:AK11"/>
    <mergeCell ref="B2:F2"/>
    <mergeCell ref="H2:L2"/>
    <mergeCell ref="N2:R2"/>
    <mergeCell ref="B10:B11"/>
    <mergeCell ref="B5:B6"/>
    <mergeCell ref="T2:X2"/>
    <mergeCell ref="Z9:Z10"/>
    <mergeCell ref="Z14:Z15"/>
    <mergeCell ref="Z2:AE2"/>
    <mergeCell ref="N9:N10"/>
    <mergeCell ref="N14:N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fab965-5d3d-4b41-841f-71d702db462b">
      <Terms xmlns="http://schemas.microsoft.com/office/infopath/2007/PartnerControls"/>
    </lcf76f155ced4ddcb4097134ff3c332f>
    <TaxCatchAll xmlns="7cfde75b-ac1e-4aae-b786-b4d594ced7d1" xsi:nil="true"/>
    <_Flow_SignoffStatus xmlns="04fab965-5d3d-4b41-841f-71d702db462b" xsi:nil="true"/>
    <SharedWithUsers xmlns="7cfde75b-ac1e-4aae-b786-b4d594ced7d1">
      <UserInfo>
        <DisplayName>Jan Felipe</DisplayName>
        <AccountId>122</AccountId>
        <AccountType/>
      </UserInfo>
      <UserInfo>
        <DisplayName>Jader Gabriel Alves de Carvalho</DisplayName>
        <AccountId>3175</AccountId>
        <AccountType/>
      </UserInfo>
      <UserInfo>
        <DisplayName>Pedro Lozano</DisplayName>
        <AccountId>1342</AccountId>
        <AccountType/>
      </UserInfo>
      <UserInfo>
        <DisplayName>Luana Cardoso</DisplayName>
        <AccountId>1361</AccountId>
        <AccountType/>
      </UserInfo>
      <UserInfo>
        <DisplayName>Petersson Menezes</DisplayName>
        <AccountId>1055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EB0DCFA5AE8489FD2BF1A99E02000" ma:contentTypeVersion="20" ma:contentTypeDescription="Crie um novo documento." ma:contentTypeScope="" ma:versionID="e23c43a314ea4b9d31bd421d6be5b435">
  <xsd:schema xmlns:xsd="http://www.w3.org/2001/XMLSchema" xmlns:xs="http://www.w3.org/2001/XMLSchema" xmlns:p="http://schemas.microsoft.com/office/2006/metadata/properties" xmlns:ns2="04fab965-5d3d-4b41-841f-71d702db462b" xmlns:ns3="7cfde75b-ac1e-4aae-b786-b4d594ced7d1" targetNamespace="http://schemas.microsoft.com/office/2006/metadata/properties" ma:root="true" ma:fieldsID="be5fa4cef2caad872a05c7cb26ff20fa" ns2:_="" ns3:_="">
    <xsd:import namespace="04fab965-5d3d-4b41-841f-71d702db462b"/>
    <xsd:import namespace="7cfde75b-ac1e-4aae-b786-b4d594ced7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ab965-5d3d-4b41-841f-71d702db46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64acc2-bd2d-4409-85f6-df2eebf848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de75b-ac1e-4aae-b786-b4d594ced7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f1f763-c8ca-42e1-8124-06bfdff3a4c7}" ma:internalName="TaxCatchAll" ma:showField="CatchAllData" ma:web="7cfde75b-ac1e-4aae-b786-b4d594ced7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940929-D3AD-4123-9F6F-702B64F697A4}"/>
</file>

<file path=customXml/itemProps2.xml><?xml version="1.0" encoding="utf-8"?>
<ds:datastoreItem xmlns:ds="http://schemas.openxmlformats.org/officeDocument/2006/customXml" ds:itemID="{76863803-F899-4083-BE50-FC048D818DD1}"/>
</file>

<file path=customXml/itemProps3.xml><?xml version="1.0" encoding="utf-8"?>
<ds:datastoreItem xmlns:ds="http://schemas.openxmlformats.org/officeDocument/2006/customXml" ds:itemID="{951042DF-61D1-4B0A-B374-A50E45828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Martins dos Santos</dc:creator>
  <cp:keywords/>
  <dc:description/>
  <cp:lastModifiedBy/>
  <cp:revision/>
  <dcterms:created xsi:type="dcterms:W3CDTF">2023-06-02T12:27:44Z</dcterms:created>
  <dcterms:modified xsi:type="dcterms:W3CDTF">2025-10-01T13:27:53Z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0x010100A20EB0DCFA5AE8489FD2BF1A99E02000</vt:lpwstr>
  </property>
  <property fmtid="{D5CDD505-2E9C-101B-9397-08002B2CF9AE}" pid="3" name="MediaServiceImageTags">
    <vt:lpwstr/>
  </property>
</Properties>
</file>